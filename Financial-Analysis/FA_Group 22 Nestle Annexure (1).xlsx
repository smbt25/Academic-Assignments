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d.docs.live.net/ea8d58408fef9074/Documents/Heriot Watt University/CourseWork/Financial Analysis/"/>
    </mc:Choice>
  </mc:AlternateContent>
  <xr:revisionPtr revIDLastSave="17" documentId="13_ncr:1_{3E911986-0896-4913-BF1D-49C4C4EBE8FE}" xr6:coauthVersionLast="47" xr6:coauthVersionMax="47" xr10:uidLastSave="{86FE5C98-26B9-49FB-89D8-7F4518DE2395}"/>
  <bookViews>
    <workbookView xWindow="-108" yWindow="-108" windowWidth="23256" windowHeight="12456" tabRatio="728" xr2:uid="{00000000-000D-0000-FFFF-FFFF00000000}"/>
  </bookViews>
  <sheets>
    <sheet name="Balance Sheet" sheetId="1" r:id="rId1"/>
    <sheet name="Profit and Loss" sheetId="2" r:id="rId2"/>
    <sheet name="Cash Flow" sheetId="11" r:id="rId3"/>
    <sheet name="Charts" sheetId="10" state="hidden" r:id="rId4"/>
    <sheet name="analysis" sheetId="9" state="hidden" r:id="rId5"/>
    <sheet name="Liquidity Ratios" sheetId="12" r:id="rId6"/>
    <sheet name="Debt to Equity" sheetId="20" r:id="rId7"/>
    <sheet name="Leverage" sheetId="19" r:id="rId8"/>
    <sheet name="Efficiency Ratios" sheetId="14" r:id="rId9"/>
    <sheet name="Profitability Ratios" sheetId="15" r:id="rId10"/>
    <sheet name="Returns" sheetId="17" r:id="rId11"/>
    <sheet name="Valuation" sheetId="18" r:id="rId12"/>
    <sheet name="Sum_Ratios" sheetId="5"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0" l="1"/>
  <c r="B10" i="20"/>
  <c r="B9" i="20"/>
  <c r="B8" i="20"/>
  <c r="B7" i="20"/>
  <c r="B12" i="19"/>
  <c r="C13" i="19" s="1"/>
  <c r="C12" i="19"/>
  <c r="B13" i="19"/>
  <c r="B14" i="19"/>
  <c r="B15" i="19"/>
  <c r="C16" i="19" s="1"/>
  <c r="B16" i="19"/>
  <c r="B20" i="19"/>
  <c r="C20" i="19"/>
  <c r="B21" i="19"/>
  <c r="B22" i="19"/>
  <c r="C23" i="19" s="1"/>
  <c r="B23" i="19"/>
  <c r="C24" i="19" s="1"/>
  <c r="B24" i="19"/>
  <c r="B28" i="19"/>
  <c r="C28" i="19"/>
  <c r="B29" i="19"/>
  <c r="B37" i="19" s="1"/>
  <c r="B30" i="19"/>
  <c r="C31" i="19" s="1"/>
  <c r="B31" i="19"/>
  <c r="B32" i="19"/>
  <c r="F16" i="18"/>
  <c r="F15" i="18"/>
  <c r="F14" i="18"/>
  <c r="F13" i="18"/>
  <c r="F12" i="18"/>
  <c r="C16" i="18"/>
  <c r="B16" i="18"/>
  <c r="C15" i="18"/>
  <c r="B15" i="18"/>
  <c r="C14" i="18"/>
  <c r="B14" i="18"/>
  <c r="C13" i="18"/>
  <c r="B13" i="18"/>
  <c r="C12" i="18"/>
  <c r="B12" i="18"/>
  <c r="B30" i="17"/>
  <c r="B29" i="17"/>
  <c r="B28" i="17"/>
  <c r="B27" i="17"/>
  <c r="B26" i="17"/>
  <c r="B22" i="17"/>
  <c r="B21" i="17"/>
  <c r="B20" i="17"/>
  <c r="B19" i="17"/>
  <c r="B18" i="17"/>
  <c r="B14" i="17"/>
  <c r="B13" i="17"/>
  <c r="B12" i="17"/>
  <c r="B11" i="17"/>
  <c r="B10" i="17"/>
  <c r="C22" i="15"/>
  <c r="B22" i="15"/>
  <c r="C21" i="15"/>
  <c r="B21" i="15"/>
  <c r="D21" i="15" s="1"/>
  <c r="C20" i="15"/>
  <c r="B20" i="15"/>
  <c r="C19" i="15"/>
  <c r="B19" i="15"/>
  <c r="C18" i="15"/>
  <c r="B18" i="15"/>
  <c r="C13" i="15"/>
  <c r="B13" i="15"/>
  <c r="C12" i="15"/>
  <c r="B12" i="15"/>
  <c r="C11" i="15"/>
  <c r="B11" i="15"/>
  <c r="C10" i="15"/>
  <c r="B10" i="15"/>
  <c r="C9" i="15"/>
  <c r="B9" i="15"/>
  <c r="D9" i="15" s="1"/>
  <c r="C21" i="14"/>
  <c r="B21" i="14"/>
  <c r="C20" i="14"/>
  <c r="B20" i="14"/>
  <c r="C19" i="14"/>
  <c r="B19" i="14"/>
  <c r="C18" i="14"/>
  <c r="B18" i="14"/>
  <c r="D18" i="14" s="1"/>
  <c r="C17" i="14"/>
  <c r="B17" i="14"/>
  <c r="B13" i="14"/>
  <c r="B12" i="14"/>
  <c r="B11" i="14"/>
  <c r="B10" i="14"/>
  <c r="B9" i="14"/>
  <c r="D20" i="14" l="1"/>
  <c r="C30" i="19"/>
  <c r="D30" i="19" s="1"/>
  <c r="E38" i="19" s="1"/>
  <c r="D16" i="19"/>
  <c r="C40" i="19" s="1"/>
  <c r="D31" i="19"/>
  <c r="E39" i="19" s="1"/>
  <c r="D23" i="19"/>
  <c r="D39" i="19" s="1"/>
  <c r="D13" i="19"/>
  <c r="C37" i="19" s="1"/>
  <c r="D12" i="19"/>
  <c r="C36" i="19" s="1"/>
  <c r="D20" i="19"/>
  <c r="D36" i="19" s="1"/>
  <c r="D28" i="19"/>
  <c r="E36" i="19" s="1"/>
  <c r="D24" i="19"/>
  <c r="D40" i="19" s="1"/>
  <c r="C29" i="19"/>
  <c r="D29" i="19" s="1"/>
  <c r="E37" i="19" s="1"/>
  <c r="B36" i="19"/>
  <c r="B38" i="19"/>
  <c r="C22" i="19"/>
  <c r="D22" i="19" s="1"/>
  <c r="D38" i="19" s="1"/>
  <c r="C15" i="19"/>
  <c r="D15" i="19" s="1"/>
  <c r="C39" i="19" s="1"/>
  <c r="B40" i="19"/>
  <c r="C32" i="19"/>
  <c r="D32" i="19" s="1"/>
  <c r="E40" i="19" s="1"/>
  <c r="C21" i="19"/>
  <c r="D21" i="19" s="1"/>
  <c r="D37" i="19" s="1"/>
  <c r="C14" i="19"/>
  <c r="D14" i="19" s="1"/>
  <c r="C38" i="19" s="1"/>
  <c r="B39" i="19"/>
  <c r="D12" i="18"/>
  <c r="G12" i="18" s="1"/>
  <c r="D16" i="18"/>
  <c r="G16" i="18" s="1"/>
  <c r="D14" i="18"/>
  <c r="G14" i="18" s="1"/>
  <c r="D15" i="18"/>
  <c r="G15" i="18" s="1"/>
  <c r="D13" i="18"/>
  <c r="G13" i="18" s="1"/>
  <c r="D13" i="15"/>
  <c r="D20" i="15"/>
  <c r="D19" i="15"/>
  <c r="D10" i="15"/>
  <c r="D12" i="15"/>
  <c r="D22" i="15"/>
  <c r="D18" i="15"/>
  <c r="D11" i="15"/>
  <c r="D19" i="14"/>
  <c r="D17" i="14"/>
  <c r="D21" i="14"/>
  <c r="D13" i="12"/>
  <c r="C13" i="12"/>
  <c r="D12" i="12"/>
  <c r="C12" i="12"/>
  <c r="D11" i="12"/>
  <c r="C11" i="12"/>
  <c r="D10" i="12"/>
  <c r="C10" i="12"/>
  <c r="D9" i="12"/>
  <c r="C9" i="12"/>
  <c r="B78" i="10"/>
  <c r="B77" i="10"/>
  <c r="B76" i="10"/>
  <c r="B75" i="10"/>
  <c r="B74" i="10"/>
  <c r="B94" i="10"/>
  <c r="B93" i="10"/>
  <c r="B92" i="10"/>
  <c r="B91" i="10"/>
  <c r="B90" i="10"/>
  <c r="C8" i="10"/>
  <c r="C7" i="10"/>
  <c r="C6" i="10"/>
  <c r="C5" i="10"/>
  <c r="C4" i="10"/>
  <c r="D8" i="10"/>
  <c r="D7" i="10"/>
  <c r="D6" i="10"/>
  <c r="D5" i="10"/>
  <c r="D4" i="10"/>
  <c r="B128" i="10"/>
  <c r="B136" i="10" s="1"/>
  <c r="B127" i="10"/>
  <c r="C128" i="10" s="1"/>
  <c r="B126" i="10"/>
  <c r="C127" i="10" s="1"/>
  <c r="B125" i="10"/>
  <c r="B133" i="10" s="1"/>
  <c r="B124" i="10"/>
  <c r="C124" i="10"/>
  <c r="B120" i="10"/>
  <c r="B119" i="10"/>
  <c r="C120" i="10" s="1"/>
  <c r="B118" i="10"/>
  <c r="C119" i="10" s="1"/>
  <c r="B117" i="10"/>
  <c r="C118" i="10" s="1"/>
  <c r="D118" i="10" s="1"/>
  <c r="D134" i="10" s="1"/>
  <c r="B116" i="10"/>
  <c r="C117" i="10" s="1"/>
  <c r="C116" i="10"/>
  <c r="D116" i="10" s="1"/>
  <c r="D132" i="10" s="1"/>
  <c r="B112" i="10"/>
  <c r="B111" i="10"/>
  <c r="C112" i="10" s="1"/>
  <c r="B110" i="10"/>
  <c r="C111" i="10" s="1"/>
  <c r="B109" i="10"/>
  <c r="C110" i="10" s="1"/>
  <c r="C108" i="10"/>
  <c r="B108" i="10"/>
  <c r="C103" i="10"/>
  <c r="C102" i="10"/>
  <c r="C101" i="10"/>
  <c r="C100" i="10"/>
  <c r="C99" i="10"/>
  <c r="B103" i="10"/>
  <c r="B102" i="10"/>
  <c r="B101" i="10"/>
  <c r="B100" i="10"/>
  <c r="B99" i="10"/>
  <c r="C49" i="10"/>
  <c r="B82" i="10"/>
  <c r="B83" i="10"/>
  <c r="B84" i="10"/>
  <c r="B85" i="10"/>
  <c r="B86" i="10"/>
  <c r="B66" i="10"/>
  <c r="B67" i="10"/>
  <c r="B68" i="10"/>
  <c r="B69" i="10"/>
  <c r="B70" i="10"/>
  <c r="C66" i="10"/>
  <c r="C67" i="10"/>
  <c r="C68" i="10"/>
  <c r="C69" i="10"/>
  <c r="C70" i="10"/>
  <c r="C57" i="10"/>
  <c r="C58" i="10"/>
  <c r="C59" i="10"/>
  <c r="C60" i="10"/>
  <c r="C61" i="10"/>
  <c r="B57" i="10"/>
  <c r="B58" i="10"/>
  <c r="B59" i="10"/>
  <c r="B60" i="10"/>
  <c r="B61" i="10"/>
  <c r="C50" i="10"/>
  <c r="C51" i="10"/>
  <c r="C52" i="10"/>
  <c r="C53" i="10"/>
  <c r="B49" i="10"/>
  <c r="B50" i="10"/>
  <c r="B51" i="10"/>
  <c r="B52" i="10"/>
  <c r="B53" i="10"/>
  <c r="B41" i="10"/>
  <c r="B42" i="10"/>
  <c r="B43" i="10"/>
  <c r="B44" i="10"/>
  <c r="B45" i="10"/>
  <c r="B15" i="5"/>
  <c r="B32" i="10"/>
  <c r="B33" i="10"/>
  <c r="B34" i="10"/>
  <c r="B35" i="10"/>
  <c r="B36" i="10"/>
  <c r="B23" i="10"/>
  <c r="B24" i="10"/>
  <c r="B25" i="10"/>
  <c r="B26" i="10"/>
  <c r="B27" i="10"/>
  <c r="F36" i="19" l="1"/>
  <c r="D110" i="10"/>
  <c r="C134" i="10" s="1"/>
  <c r="D128" i="10"/>
  <c r="E136" i="10" s="1"/>
  <c r="H40" i="19"/>
  <c r="F40" i="19"/>
  <c r="F39" i="19"/>
  <c r="H37" i="19"/>
  <c r="G37" i="19"/>
  <c r="F38" i="19"/>
  <c r="G38" i="19"/>
  <c r="H38" i="19"/>
  <c r="H36" i="19"/>
  <c r="G36" i="19"/>
  <c r="F37" i="19"/>
  <c r="H39" i="19"/>
  <c r="G39" i="19"/>
  <c r="G40" i="19"/>
  <c r="D108" i="10"/>
  <c r="C132" i="10" s="1"/>
  <c r="G132" i="10" s="1"/>
  <c r="C126" i="10"/>
  <c r="D126" i="10" s="1"/>
  <c r="E134" i="10" s="1"/>
  <c r="G134" i="10"/>
  <c r="D124" i="10"/>
  <c r="E132" i="10" s="1"/>
  <c r="H132" i="10" s="1"/>
  <c r="D100" i="10"/>
  <c r="B132" i="10"/>
  <c r="B135" i="10"/>
  <c r="B134" i="10"/>
  <c r="C125" i="10"/>
  <c r="D125" i="10" s="1"/>
  <c r="E133" i="10" s="1"/>
  <c r="C109" i="10"/>
  <c r="D109" i="10" s="1"/>
  <c r="C133" i="10" s="1"/>
  <c r="D112" i="10"/>
  <c r="C136" i="10" s="1"/>
  <c r="F136" i="10" s="1"/>
  <c r="D127" i="10"/>
  <c r="E135" i="10" s="1"/>
  <c r="D120" i="10"/>
  <c r="D136" i="10" s="1"/>
  <c r="H136" i="10" s="1"/>
  <c r="D119" i="10"/>
  <c r="D135" i="10" s="1"/>
  <c r="H135" i="10" s="1"/>
  <c r="D117" i="10"/>
  <c r="D133" i="10" s="1"/>
  <c r="H133" i="10" s="1"/>
  <c r="D111" i="10"/>
  <c r="C135" i="10" s="1"/>
  <c r="D103" i="10"/>
  <c r="D101" i="10"/>
  <c r="D102" i="10"/>
  <c r="D99" i="10"/>
  <c r="D66" i="10"/>
  <c r="D67" i="10"/>
  <c r="D68" i="10"/>
  <c r="D69" i="10"/>
  <c r="D70" i="10"/>
  <c r="D57" i="10"/>
  <c r="D58" i="10"/>
  <c r="D59" i="10"/>
  <c r="D60" i="10"/>
  <c r="D61" i="10"/>
  <c r="D49" i="10"/>
  <c r="D50" i="10"/>
  <c r="D51" i="10"/>
  <c r="D52" i="10"/>
  <c r="D53" i="10"/>
  <c r="F134" i="10" l="1"/>
  <c r="H134" i="10"/>
  <c r="F132" i="10"/>
  <c r="F135" i="10"/>
  <c r="F133" i="10"/>
  <c r="G133" i="10"/>
  <c r="G135" i="10"/>
  <c r="G136" i="10"/>
  <c r="H61" i="1" l="1"/>
  <c r="H63" i="1" s="1"/>
  <c r="H51" i="1"/>
  <c r="H42" i="1"/>
  <c r="H28" i="1"/>
  <c r="H16" i="1"/>
  <c r="H12" i="2"/>
  <c r="H15" i="2" s="1"/>
  <c r="H19" i="2" s="1"/>
  <c r="H21" i="2" s="1"/>
  <c r="H24" i="2" s="1"/>
  <c r="C15" i="5"/>
  <c r="D15" i="5"/>
  <c r="E15" i="5"/>
  <c r="F15" i="5"/>
  <c r="E28" i="1"/>
  <c r="F28" i="1"/>
  <c r="G28" i="1"/>
  <c r="F42" i="1"/>
  <c r="E10" i="12" s="1"/>
  <c r="H10" i="12" s="1"/>
  <c r="G42" i="1"/>
  <c r="E9" i="12" s="1"/>
  <c r="H9" i="12" s="1"/>
  <c r="E16" i="1"/>
  <c r="B11" i="12" s="1"/>
  <c r="F16" i="1"/>
  <c r="B10" i="12" s="1"/>
  <c r="G16" i="1"/>
  <c r="B9" i="12" s="1"/>
  <c r="D12" i="2"/>
  <c r="D15" i="2" s="1"/>
  <c r="E12" i="2"/>
  <c r="D19" i="5" s="1"/>
  <c r="F12" i="2"/>
  <c r="E19" i="5" s="1"/>
  <c r="G12" i="2"/>
  <c r="G15" i="2" s="1"/>
  <c r="D61" i="1"/>
  <c r="E61" i="1"/>
  <c r="F61" i="1"/>
  <c r="G61" i="1"/>
  <c r="D51" i="1"/>
  <c r="E51" i="1"/>
  <c r="F51" i="1"/>
  <c r="G51" i="1"/>
  <c r="E42" i="1"/>
  <c r="E11" i="12" s="1"/>
  <c r="H11" i="12" s="1"/>
  <c r="D42" i="1"/>
  <c r="E12" i="12" s="1"/>
  <c r="H12" i="12" s="1"/>
  <c r="D28" i="1"/>
  <c r="D16" i="1"/>
  <c r="B12" i="12" s="1"/>
  <c r="C12" i="2"/>
  <c r="C15" i="2" s="1"/>
  <c r="C61" i="1"/>
  <c r="C51" i="1"/>
  <c r="C42" i="1"/>
  <c r="E13" i="12" s="1"/>
  <c r="H13" i="12" s="1"/>
  <c r="C28" i="1"/>
  <c r="C16" i="1"/>
  <c r="B13" i="12" s="1"/>
  <c r="G11" i="12" l="1"/>
  <c r="F11" i="12"/>
  <c r="C75" i="10"/>
  <c r="D75" i="10" s="1"/>
  <c r="C11" i="17"/>
  <c r="D11" i="17" s="1"/>
  <c r="C78" i="10"/>
  <c r="D78" i="10" s="1"/>
  <c r="C14" i="17"/>
  <c r="D14" i="17" s="1"/>
  <c r="C76" i="10"/>
  <c r="D76" i="10" s="1"/>
  <c r="C12" i="17"/>
  <c r="D12" i="17" s="1"/>
  <c r="C77" i="10"/>
  <c r="D77" i="10" s="1"/>
  <c r="C13" i="17"/>
  <c r="D13" i="17" s="1"/>
  <c r="E30" i="1"/>
  <c r="F12" i="12"/>
  <c r="G12" i="12"/>
  <c r="D6" i="5"/>
  <c r="F9" i="12"/>
  <c r="G9" i="12"/>
  <c r="G10" i="12"/>
  <c r="F10" i="12"/>
  <c r="G13" i="12"/>
  <c r="F13" i="12"/>
  <c r="C74" i="10"/>
  <c r="D74" i="10" s="1"/>
  <c r="C10" i="17"/>
  <c r="D10" i="17" s="1"/>
  <c r="H68" i="1"/>
  <c r="C84" i="10"/>
  <c r="D84" i="10" s="1"/>
  <c r="D30" i="1"/>
  <c r="B7" i="10"/>
  <c r="B17" i="10"/>
  <c r="C6" i="5"/>
  <c r="E7" i="10"/>
  <c r="H7" i="10" s="1"/>
  <c r="C17" i="10"/>
  <c r="C26" i="10"/>
  <c r="D26" i="10" s="1"/>
  <c r="E6" i="10"/>
  <c r="H6" i="10" s="1"/>
  <c r="C16" i="10"/>
  <c r="C25" i="10"/>
  <c r="D25" i="10" s="1"/>
  <c r="G68" i="1"/>
  <c r="B4" i="10"/>
  <c r="B14" i="10"/>
  <c r="B5" i="10"/>
  <c r="B15" i="10"/>
  <c r="B8" i="10"/>
  <c r="B18" i="10"/>
  <c r="B6" i="10"/>
  <c r="B16" i="10"/>
  <c r="F6" i="5"/>
  <c r="C14" i="10"/>
  <c r="C23" i="10"/>
  <c r="D23" i="10" s="1"/>
  <c r="E4" i="10"/>
  <c r="H4" i="10" s="1"/>
  <c r="B6" i="5"/>
  <c r="E8" i="10"/>
  <c r="H8" i="10" s="1"/>
  <c r="C18" i="10"/>
  <c r="C27" i="10"/>
  <c r="D27" i="10" s="1"/>
  <c r="E6" i="5"/>
  <c r="C15" i="10"/>
  <c r="C24" i="10"/>
  <c r="D24" i="10" s="1"/>
  <c r="E5" i="10"/>
  <c r="H5" i="10" s="1"/>
  <c r="F30" i="1"/>
  <c r="D19" i="2"/>
  <c r="D21" i="2" s="1"/>
  <c r="D24" i="2" s="1"/>
  <c r="C22" i="5"/>
  <c r="C19" i="2"/>
  <c r="C21" i="2" s="1"/>
  <c r="C24" i="2" s="1"/>
  <c r="B20" i="5" s="1"/>
  <c r="G19" i="2"/>
  <c r="G21" i="2" s="1"/>
  <c r="G24" i="2" s="1"/>
  <c r="G27" i="2" s="1"/>
  <c r="F27" i="5" s="1"/>
  <c r="F31" i="5" s="1"/>
  <c r="H27" i="2"/>
  <c r="C20" i="5"/>
  <c r="C28" i="5"/>
  <c r="D27" i="2"/>
  <c r="C27" i="5" s="1"/>
  <c r="C31" i="5" s="1"/>
  <c r="B28" i="5"/>
  <c r="C27" i="2"/>
  <c r="B27" i="5" s="1"/>
  <c r="B31" i="5" s="1"/>
  <c r="H65" i="1"/>
  <c r="C14" i="5"/>
  <c r="D14" i="5"/>
  <c r="C5" i="5"/>
  <c r="H30" i="1"/>
  <c r="E4" i="5"/>
  <c r="F68" i="1"/>
  <c r="H53" i="1"/>
  <c r="F63" i="1"/>
  <c r="C8" i="20" s="1"/>
  <c r="D8" i="20" s="1"/>
  <c r="E63" i="1"/>
  <c r="C9" i="20" s="1"/>
  <c r="D9" i="20" s="1"/>
  <c r="D63" i="1"/>
  <c r="C10" i="20" s="1"/>
  <c r="D10" i="20" s="1"/>
  <c r="C21" i="5"/>
  <c r="C30" i="1"/>
  <c r="C68" i="1"/>
  <c r="E53" i="1"/>
  <c r="D4" i="5"/>
  <c r="E68" i="1"/>
  <c r="C4" i="5"/>
  <c r="D68" i="1"/>
  <c r="D53" i="1"/>
  <c r="C63" i="1"/>
  <c r="C11" i="20" s="1"/>
  <c r="D11" i="20" s="1"/>
  <c r="B21" i="5"/>
  <c r="G63" i="1"/>
  <c r="C7" i="20" s="1"/>
  <c r="D7" i="20" s="1"/>
  <c r="F21" i="5"/>
  <c r="B19" i="5"/>
  <c r="C19" i="5"/>
  <c r="F19" i="5"/>
  <c r="G30" i="1"/>
  <c r="D5" i="5"/>
  <c r="B4" i="5"/>
  <c r="E5" i="5"/>
  <c r="F5" i="5"/>
  <c r="F4" i="5"/>
  <c r="C53" i="1"/>
  <c r="B5" i="5"/>
  <c r="G53" i="1"/>
  <c r="F15" i="2"/>
  <c r="F53" i="1"/>
  <c r="E15" i="2"/>
  <c r="C18" i="17" l="1"/>
  <c r="D18" i="17" s="1"/>
  <c r="C9" i="14"/>
  <c r="D9" i="14" s="1"/>
  <c r="C26" i="17"/>
  <c r="D26" i="17" s="1"/>
  <c r="F23" i="5"/>
  <c r="H12" i="18"/>
  <c r="F32" i="5"/>
  <c r="C22" i="17"/>
  <c r="D22" i="17" s="1"/>
  <c r="C30" i="17"/>
  <c r="D30" i="17" s="1"/>
  <c r="C13" i="14"/>
  <c r="D13" i="14" s="1"/>
  <c r="B23" i="5"/>
  <c r="H16" i="18"/>
  <c r="B32" i="5"/>
  <c r="C21" i="17"/>
  <c r="D21" i="17" s="1"/>
  <c r="C29" i="17"/>
  <c r="D29" i="17" s="1"/>
  <c r="C12" i="14"/>
  <c r="D12" i="14" s="1"/>
  <c r="H15" i="18"/>
  <c r="C32" i="5"/>
  <c r="C23" i="5"/>
  <c r="C20" i="17"/>
  <c r="D20" i="17" s="1"/>
  <c r="C28" i="17"/>
  <c r="D28" i="17" s="1"/>
  <c r="C11" i="14"/>
  <c r="D11" i="14" s="1"/>
  <c r="H14" i="18"/>
  <c r="D32" i="5"/>
  <c r="D23" i="5"/>
  <c r="C10" i="14"/>
  <c r="D10" i="14" s="1"/>
  <c r="C27" i="17"/>
  <c r="D27" i="17" s="1"/>
  <c r="C19" i="17"/>
  <c r="D19" i="17" s="1"/>
  <c r="E32" i="5"/>
  <c r="H13" i="18"/>
  <c r="E23" i="5"/>
  <c r="D16" i="10"/>
  <c r="C92" i="10"/>
  <c r="D92" i="10" s="1"/>
  <c r="C43" i="10"/>
  <c r="D43" i="10" s="1"/>
  <c r="G5" i="10"/>
  <c r="G6" i="10"/>
  <c r="F4" i="10"/>
  <c r="G4" i="10"/>
  <c r="G8" i="10"/>
  <c r="G7" i="10"/>
  <c r="F5" i="10"/>
  <c r="F6" i="10"/>
  <c r="D15" i="10"/>
  <c r="C86" i="10"/>
  <c r="D86" i="10" s="1"/>
  <c r="C45" i="10"/>
  <c r="D45" i="10" s="1"/>
  <c r="C94" i="10"/>
  <c r="D94" i="10" s="1"/>
  <c r="B22" i="5"/>
  <c r="C32" i="10"/>
  <c r="D32" i="10" s="1"/>
  <c r="F10" i="5"/>
  <c r="C35" i="10"/>
  <c r="D35" i="10" s="1"/>
  <c r="C10" i="5"/>
  <c r="C34" i="10"/>
  <c r="D34" i="10" s="1"/>
  <c r="D10" i="5"/>
  <c r="D14" i="10"/>
  <c r="C36" i="10"/>
  <c r="D36" i="10" s="1"/>
  <c r="B10" i="5"/>
  <c r="C33" i="10"/>
  <c r="D33" i="10" s="1"/>
  <c r="E10" i="5"/>
  <c r="C83" i="10"/>
  <c r="D83" i="10" s="1"/>
  <c r="C42" i="10"/>
  <c r="D42" i="10" s="1"/>
  <c r="C91" i="10"/>
  <c r="D91" i="10" s="1"/>
  <c r="D18" i="10"/>
  <c r="D17" i="10"/>
  <c r="F8" i="10"/>
  <c r="F7" i="10"/>
  <c r="E65" i="1"/>
  <c r="C82" i="10"/>
  <c r="D82" i="10" s="1"/>
  <c r="C41" i="10"/>
  <c r="D41" i="10" s="1"/>
  <c r="C90" i="10"/>
  <c r="D90" i="10" s="1"/>
  <c r="E14" i="5"/>
  <c r="F22" i="5"/>
  <c r="C85" i="10"/>
  <c r="D85" i="10" s="1"/>
  <c r="C44" i="10"/>
  <c r="D44" i="10" s="1"/>
  <c r="C93" i="10"/>
  <c r="D93" i="10" s="1"/>
  <c r="B29" i="5"/>
  <c r="C29" i="5"/>
  <c r="F19" i="2"/>
  <c r="F21" i="2" s="1"/>
  <c r="F24" i="2" s="1"/>
  <c r="E22" i="5"/>
  <c r="F20" i="5"/>
  <c r="F28" i="5"/>
  <c r="F29" i="5" s="1"/>
  <c r="E19" i="2"/>
  <c r="E21" i="2" s="1"/>
  <c r="E24" i="2" s="1"/>
  <c r="D21" i="5" s="1"/>
  <c r="D22" i="5"/>
  <c r="D20" i="5"/>
  <c r="D28" i="5"/>
  <c r="E27" i="2"/>
  <c r="D27" i="5" s="1"/>
  <c r="D31" i="5" s="1"/>
  <c r="C65" i="1"/>
  <c r="B14" i="5"/>
  <c r="D65" i="1"/>
  <c r="F65" i="1"/>
  <c r="G65" i="1"/>
  <c r="F14" i="5"/>
  <c r="D29" i="5" l="1"/>
  <c r="F27" i="2"/>
  <c r="E27" i="5" s="1"/>
  <c r="E31" i="5" s="1"/>
  <c r="E28" i="5"/>
  <c r="E20" i="5"/>
  <c r="E21" i="5"/>
  <c r="E29" i="5" l="1"/>
</calcChain>
</file>

<file path=xl/sharedStrings.xml><?xml version="1.0" encoding="utf-8"?>
<sst xmlns="http://schemas.openxmlformats.org/spreadsheetml/2006/main" count="458" uniqueCount="282">
  <si>
    <t>Sales</t>
  </si>
  <si>
    <t>Particulars</t>
  </si>
  <si>
    <t>Assets</t>
  </si>
  <si>
    <t>Current Assets</t>
  </si>
  <si>
    <t>Cash and cash equivalents</t>
  </si>
  <si>
    <t>Inventories</t>
  </si>
  <si>
    <t>Trade and Other Receivables</t>
  </si>
  <si>
    <t>Short-Terms  Investments</t>
  </si>
  <si>
    <t>Prepayments</t>
  </si>
  <si>
    <t>Derivative assets</t>
  </si>
  <si>
    <t>Current income tax assets</t>
  </si>
  <si>
    <t>Assets held for sale</t>
  </si>
  <si>
    <t>Total Current Assets</t>
  </si>
  <si>
    <t>Non Current Assets</t>
  </si>
  <si>
    <t>Property,  plant and equipment</t>
  </si>
  <si>
    <t>Goodwill</t>
  </si>
  <si>
    <t>Intangible  assets</t>
  </si>
  <si>
    <t>Investments  in associates and joint ventures</t>
  </si>
  <si>
    <t>Financial assets</t>
  </si>
  <si>
    <t>Employee Benefits Assets and Reimbursement  Rights</t>
  </si>
  <si>
    <t>Deferred  Tax Assets</t>
  </si>
  <si>
    <t>Total Non Current Assets</t>
  </si>
  <si>
    <t>Total Assets</t>
  </si>
  <si>
    <t>Liabilities and equity</t>
  </si>
  <si>
    <t>Current Liabilities</t>
  </si>
  <si>
    <t>Financial debt</t>
  </si>
  <si>
    <t>Derivative  liabilities</t>
  </si>
  <si>
    <t>Trade and other payables</t>
  </si>
  <si>
    <t>Accruals</t>
  </si>
  <si>
    <t>Provisions</t>
  </si>
  <si>
    <t>Current income tax liabilities</t>
  </si>
  <si>
    <t>Liabilities  directly associatecl with assets held for sale</t>
  </si>
  <si>
    <t>Total Current Liabilities</t>
  </si>
  <si>
    <t>Non-Current Liabilities</t>
  </si>
  <si>
    <t>Employee benefits liabilities</t>
  </si>
  <si>
    <t>Other payables</t>
  </si>
  <si>
    <t>Total Non-Current Liabilities</t>
  </si>
  <si>
    <t>Equity</t>
  </si>
  <si>
    <t>Share capital</t>
  </si>
  <si>
    <t>Treasury  shares</t>
  </si>
  <si>
    <t>Translation reserve</t>
  </si>
  <si>
    <t>Other reserves</t>
  </si>
  <si>
    <t>Retained Earnings</t>
  </si>
  <si>
    <t>Total equity attributable to shareholders  of the parent</t>
  </si>
  <si>
    <t>Non-controlling Interests</t>
  </si>
  <si>
    <t>Total Equity</t>
  </si>
  <si>
    <t>Total Liabilities and Equity</t>
  </si>
  <si>
    <t>Other revenue</t>
  </si>
  <si>
    <t>Cost of goods sold</t>
  </si>
  <si>
    <t>Distribution expenses</t>
  </si>
  <si>
    <t>Marketing ancl administration expenses</t>
  </si>
  <si>
    <t>Research ancl development costs</t>
  </si>
  <si>
    <t>Other trading income</t>
  </si>
  <si>
    <t>Other trading expenses</t>
  </si>
  <si>
    <t>Other operating  income</t>
  </si>
  <si>
    <t>Other operating  expenses</t>
  </si>
  <si>
    <t>Financial Income</t>
  </si>
  <si>
    <t>Financial Expense</t>
  </si>
  <si>
    <t>Earnings before Tax</t>
  </si>
  <si>
    <t>Income from associates and joint ventures</t>
  </si>
  <si>
    <t>Taxes</t>
  </si>
  <si>
    <t>Operating  profit / Earnings Before Interest and Tax</t>
  </si>
  <si>
    <t>Earnings after Tax</t>
  </si>
  <si>
    <t>Minority Share</t>
  </si>
  <si>
    <t>Net Profit to Shareholders</t>
  </si>
  <si>
    <t>Trading Operating Profit/ Gross Profit</t>
  </si>
  <si>
    <t>GP Ratio</t>
  </si>
  <si>
    <t>NP Ratio</t>
  </si>
  <si>
    <t>Deferred tax liabilities</t>
  </si>
  <si>
    <t>Total Liabilities</t>
  </si>
  <si>
    <t>EPS</t>
  </si>
  <si>
    <t>Current Ratio</t>
  </si>
  <si>
    <t>Quick Ratio</t>
  </si>
  <si>
    <t>Cash Ratio</t>
  </si>
  <si>
    <t>Liquidity Ratios</t>
  </si>
  <si>
    <t>Leverage Ratios</t>
  </si>
  <si>
    <t>Debt to Equity</t>
  </si>
  <si>
    <t>Asset T/O Ratio</t>
  </si>
  <si>
    <t>Efficiency Ratios</t>
  </si>
  <si>
    <t>Inventory T/O Ratio</t>
  </si>
  <si>
    <t>Profitibility Ratios</t>
  </si>
  <si>
    <t>Return on Equity</t>
  </si>
  <si>
    <t>Return on Capital Employed</t>
  </si>
  <si>
    <t>Return on Assets</t>
  </si>
  <si>
    <t>Valuation Ratios</t>
  </si>
  <si>
    <t>P/E Ratio</t>
  </si>
  <si>
    <t>DPS</t>
  </si>
  <si>
    <t>Market Value/ Book Value</t>
  </si>
  <si>
    <t>Dividend Yield</t>
  </si>
  <si>
    <t>cash ratio falls in 2022, 2023 and 2024 primarily due to major share buyback programmes</t>
  </si>
  <si>
    <t>Net Working Capital</t>
  </si>
  <si>
    <t>while the ideal current ratio is 2:1, Nestle maintains it a lower than 1 due to efficient working capital management represented by longer trade payables and lower levels of inventory.</t>
  </si>
  <si>
    <t>Weighted average no of shares for EPS (units in millions)</t>
  </si>
  <si>
    <t>Weighted average no of shares for DPS (units in millions)</t>
  </si>
  <si>
    <t>Year</t>
  </si>
  <si>
    <t>cash&amp; cash Flow</t>
  </si>
  <si>
    <t>total equity</t>
  </si>
  <si>
    <t>D O E</t>
  </si>
  <si>
    <t>SALES</t>
  </si>
  <si>
    <t>asset T/O ratio</t>
  </si>
  <si>
    <t>inventory T/o ratio</t>
  </si>
  <si>
    <t>cost of good sold</t>
  </si>
  <si>
    <t>avg inventory</t>
  </si>
  <si>
    <t>netsales</t>
  </si>
  <si>
    <t xml:space="preserve">gross profit </t>
  </si>
  <si>
    <t>net profit</t>
  </si>
  <si>
    <t>net sales</t>
  </si>
  <si>
    <t>return on equity</t>
  </si>
  <si>
    <t>share holders equity</t>
  </si>
  <si>
    <t>return on capital employed</t>
  </si>
  <si>
    <t>return on assets</t>
  </si>
  <si>
    <t>total asset</t>
  </si>
  <si>
    <t>net profit SH</t>
  </si>
  <si>
    <t>W.AVG.S.EPS</t>
  </si>
  <si>
    <t>overall</t>
  </si>
  <si>
    <t>total debt</t>
  </si>
  <si>
    <t>cap employed</t>
  </si>
  <si>
    <t>year</t>
  </si>
  <si>
    <t>current year value</t>
  </si>
  <si>
    <t>previous year value</t>
  </si>
  <si>
    <t>EBT</t>
  </si>
  <si>
    <t>YEAR</t>
  </si>
  <si>
    <t>% EBT</t>
  </si>
  <si>
    <t>% SALES</t>
  </si>
  <si>
    <t>OL</t>
  </si>
  <si>
    <t>FL</t>
  </si>
  <si>
    <t>CL</t>
  </si>
  <si>
    <t>EBIT%</t>
  </si>
  <si>
    <t>EBT%</t>
  </si>
  <si>
    <t>SALES%</t>
  </si>
  <si>
    <t>Financial Leverage</t>
  </si>
  <si>
    <t>Combined Leverage</t>
  </si>
  <si>
    <t>EBIT</t>
  </si>
  <si>
    <t>EPS peaked in 2021 due to high net profit obtained from disposal of L'Oreal share in 2022. EPS stabilised in 2022 after buyback and is consistent with pre-Covid levels. This plays a huge rolein their Dividend startegy as well</t>
  </si>
  <si>
    <t>quick ratio</t>
  </si>
  <si>
    <t xml:space="preserve">GP </t>
  </si>
  <si>
    <t>NP</t>
  </si>
  <si>
    <t>ROE</t>
  </si>
  <si>
    <t xml:space="preserve">operating profit </t>
  </si>
  <si>
    <t>ROCE</t>
  </si>
  <si>
    <t>ROA</t>
  </si>
  <si>
    <t>EARNING AFTER TAX</t>
  </si>
  <si>
    <t>…</t>
  </si>
  <si>
    <t>The current ratio of Nestle is below 1. A current ratio below 1 is indicative of liquidity risk. However for Nestle, it is a deliberate strategy. By increasing the credit term and distributing cash balances in the form of dividend and buybacks, Nestle maintains a lean Working Capital. This finances Nestle's operations at no extra cost. Thus a low Current ratio is not a risk for Nestle but a part of its strategy</t>
  </si>
  <si>
    <t>quick ratio is lower than the current ratio, signaling a significant share of current assets is inventory. Nestle holds low balances of current assets over current liabilities as part of its startegy to maintain a lean working capital.</t>
  </si>
  <si>
    <t xml:space="preserve">Too much free cash is unutilised capital and also makes the balance sheet look heavier. Nestle operating cash flow is robust and predictable reduceing the need for large cash reserves to  absorb shock. This can be seen in the way Nestle maintained its dividend outflows during and shortly after the Covid period reinforcing its image as a reliable value firm </t>
  </si>
  <si>
    <t>MP</t>
  </si>
  <si>
    <t>The asset t/o ratio remain stable throughout the review period with modest fluctuations. The ratio fell in 2024 which is coinciding with fall in sales due to changes in market demand</t>
  </si>
  <si>
    <t>Market Price</t>
  </si>
  <si>
    <t>https://www.nestle.com/investors/shares-adrs/dividends</t>
  </si>
  <si>
    <t>Nestle maintains lower levels of Current assets over Current Liabilities. The major component of Current Assets is Inventories. Nestle maintints higher levels of current liabilities especially their trade creditors using favourable terms of credit to finance their operations at near zero cost. This indicative of efficient working caoital management. Nestle also does not need high cash reseves du to its stong business model and giving it consistent cash flows. Therefore it distributes its high cash balances as dividends and buybacks to signal future cash flows to maintain a reputation a low risk firm and improve its EPS.</t>
  </si>
  <si>
    <t>Nestle maintain its dividend payout ratio in absolute terms as it wants to maintain itself defensive cash rich FMCG that values its equity holders. Therefore Nestle never cuts dividends over short term fluctuations in profitability. It is also using its buyback strategy to both reduce effect of certain Investments on its overall Balance sheet thus increasing EPS and simulatenously using it to reward shareholders. It strategically uses timing effect to accelerate and decelerate buyback as and when reqired to maintain consistency in DPS. Nestle is a huge market player with significant market influence. Big Insitutional investors like Sovereign Wealth Funds and Pension Funds invest in it. They depend on regular consistent Dividends to run their programmes. Hence Nestle uses its DPS strategy to maintain its position as a low risk firm with consistent income which appels to risk averse long term investors.</t>
  </si>
  <si>
    <t>No of Shares=  0.1CHF each</t>
  </si>
  <si>
    <t>The PE ratio is falling YOY while EPS remains constant indicated that investors are not very optimistic about future growth of Nestle. This is consistent with overall industry experiencing lower demand due to consumers shifting to private branded goods and changing overall consumption patterns. The EPS is constant however fall in sales, rising input and associated costs and indicates that the EPS is being maintained through non operational activities.</t>
  </si>
  <si>
    <t>The market value to book value is falling due to multiple factors like falling sales and other financial indicators as well as governance issues like CEO beimg changed which reduced customer confidence in the firm which is reflected in the prices</t>
  </si>
  <si>
    <t xml:space="preserve">% change in EBIT </t>
  </si>
  <si>
    <t>Current Assets - Inventory</t>
  </si>
  <si>
    <t>Inventory</t>
  </si>
  <si>
    <t>Cash and Cash Equivalents</t>
  </si>
  <si>
    <t>Operating Leverage</t>
  </si>
  <si>
    <t>Leverages</t>
  </si>
  <si>
    <t>Nestle low operating leverage means that it has more of variable costs than fixed costs. Hence profitability is dependant more on cost management and that operating profit closely follows growth in sales</t>
  </si>
  <si>
    <t>Nestle Combined Leverage is indicative that while Nestle is reducing its operational risk but has increased its financial risk by replacing equity with debt as ovserved from rising debt and buyback programmes. This increases Nestle's Valuation provided it can manage its debt related costs.</t>
  </si>
  <si>
    <t>Company Fundamentals - Cash Flow</t>
  </si>
  <si>
    <t>Company Name</t>
  </si>
  <si>
    <t>Nestle SA (NESN.S)</t>
  </si>
  <si>
    <t>Country of Exchange</t>
  </si>
  <si>
    <t>Switzerland</t>
  </si>
  <si>
    <t>TRBC Industry Group</t>
  </si>
  <si>
    <t>Food &amp; Tobacco</t>
  </si>
  <si>
    <t>31-12-2024</t>
  </si>
  <si>
    <t>31-12-2023</t>
  </si>
  <si>
    <t>31-12-2022</t>
  </si>
  <si>
    <t>31-12-2021</t>
  </si>
  <si>
    <t>31-12-2020</t>
  </si>
  <si>
    <t>Operating Cash Flow - Indirect</t>
  </si>
  <si>
    <t>Profit/(Loss) - Starting Line - Cash Flow</t>
  </si>
  <si>
    <t>Non-cash Items &amp; Reconciliation Adjustments - Cash Flow</t>
  </si>
  <si>
    <t>Equity Income/(Loss) in Net Earnings - Cash Flow - to Reconcile</t>
  </si>
  <si>
    <t>Income Tax Expense - Cash Flow - to Reconcile</t>
  </si>
  <si>
    <t>Financial Income/(Expense) - Cash Flow - to Reconcile</t>
  </si>
  <si>
    <t>Other Non-Cash Items &amp; Reconciliation Adjustments - Cash Flow - to Reconcile</t>
  </si>
  <si>
    <t>Depreciation, Depletion &amp; Amortization including Impairment - Cash Flow - to Reconcile</t>
  </si>
  <si>
    <t>Depreciation &amp; Depletion - Property, Plant &amp; Equipment - Cash Flow - to Reconcile</t>
  </si>
  <si>
    <t>Impairment - Property, Plant &amp; Equipment including Intangible Assets - Cash Flow - to Reconcile</t>
  </si>
  <si>
    <t>Amortization - Intangible Assets &amp; Deferred Charges - Cash Flow - to Reconcile</t>
  </si>
  <si>
    <t>Assets Sale - Gain/(Loss) - Cash Flow - to Reconcile</t>
  </si>
  <si>
    <t>Share Based Payments - Cash Flow - to Reconcile</t>
  </si>
  <si>
    <t>Income Taxes - Paid/(Reimbursed) - Cash Flow</t>
  </si>
  <si>
    <t>Interest Paid - Cash</t>
  </si>
  <si>
    <t>Interest &amp; Dividends - Received - Total - Cash Flow</t>
  </si>
  <si>
    <t>Cash Flow from Operating Activities before Changes in Working Capital</t>
  </si>
  <si>
    <t>Working Capital - Increase/(Decrease) - Cash Flow</t>
  </si>
  <si>
    <t>Accounts Receivables - Decrease/(Increase) - Cash Flow</t>
  </si>
  <si>
    <t>Inventories - Decrease/(Increase) - Cash Flow</t>
  </si>
  <si>
    <t>Prepaid Expenses - Decrease/(Increase) - Cash Flow</t>
  </si>
  <si>
    <t>Accounts Payable - Increase/(Decrease) - Cash Flow</t>
  </si>
  <si>
    <t>Accrued Expenses - Increase/(Decrease) - Cash Flow</t>
  </si>
  <si>
    <t>Other Liabilities - Increase/(Decrease) -Total - Cash Flow</t>
  </si>
  <si>
    <t>Other Assets &amp; Liabilities - Increase/(Decrease) - Net - Cash Flow</t>
  </si>
  <si>
    <t>Net Cash Flow from Operating Activities</t>
  </si>
  <si>
    <t>Investing Cash Flow</t>
  </si>
  <si>
    <t>Capital Expenditures - Net - Cash Flow</t>
  </si>
  <si>
    <t>Property, Plant &amp; Equipment - Purchased/(Sold) - Net - Cash Flow</t>
  </si>
  <si>
    <t>Property, Plant &amp; Equipment - Purchased - Cash Flow</t>
  </si>
  <si>
    <t>Intangible Assets - Purchased/(Sold) - Net - Total - Cash Flow</t>
  </si>
  <si>
    <t>Intangible Assets - Purchased/Acquired - Cash Flow</t>
  </si>
  <si>
    <t>Capital Expenditures - Total</t>
  </si>
  <si>
    <t>Acquisition &amp; Disposals of Business - Assets - Sold/(Acquired) - Net - Cash Flow</t>
  </si>
  <si>
    <t>Acquisition of Business - Cash Flow</t>
  </si>
  <si>
    <t>Business - Sold - Cash Flow</t>
  </si>
  <si>
    <t>Investments excluding Loans - Decrease/(Increase) - Cash Flow</t>
  </si>
  <si>
    <t>Investment Securities - Unclassified - Sold/(Purchased) - Net - Total - Cash Flow</t>
  </si>
  <si>
    <t>Investments - Associated Companies &amp; Joint Ventures - Sold/(Purchased) - Cash Flow</t>
  </si>
  <si>
    <t>Other Investing Cash Flow - Decrease/(Increase)</t>
  </si>
  <si>
    <t>Net Cash Flow from Investing Activities</t>
  </si>
  <si>
    <t>Financing Cash Flow</t>
  </si>
  <si>
    <t>Dividends Paid - Cash - Total - Cash Flow</t>
  </si>
  <si>
    <t>Dividends - Common - Cash Paid</t>
  </si>
  <si>
    <t>Stock - Total - Issuance/(Retirement) - Net - Cash Flow</t>
  </si>
  <si>
    <t>Stock - Issuance/(Retirement) - Net - Excluding Options/Warrants - Cash Flow</t>
  </si>
  <si>
    <t>Stock - Common - Issuance/(Retirement) - Net - Cash Flow</t>
  </si>
  <si>
    <t>Stock - Common - Repurchased/Retired - Cash Flow</t>
  </si>
  <si>
    <t>Minority Interests &amp; Joint Ventures - Net - Cash Flow</t>
  </si>
  <si>
    <t>Debt - Long-Term &amp; Short-Term - Issuance/(Retirement) - Total - Cash Flow</t>
  </si>
  <si>
    <t>Debt - Issued/(Reduced) - Short-Term - Total - Cash Flow</t>
  </si>
  <si>
    <t>Debt - Issued/(Reduced) - Long-Term - Cash Flow</t>
  </si>
  <si>
    <t>Debt - Issued - Long-Term - Cash Flow</t>
  </si>
  <si>
    <t>Debt - Reduced - Long-Term - Cash Flow</t>
  </si>
  <si>
    <t>Other Financing Cash Flow - Increase/(Decrease)</t>
  </si>
  <si>
    <t>Net Cash Flow from Financing Activities</t>
  </si>
  <si>
    <t>Foreign Exchange Effects</t>
  </si>
  <si>
    <t>Foreign Exchange Effects - Cash Flow</t>
  </si>
  <si>
    <t>Change in Cash</t>
  </si>
  <si>
    <t>Net Change in Cash - Total</t>
  </si>
  <si>
    <t>Net Cash from Continuing Operations</t>
  </si>
  <si>
    <t>Net Cash - Beginning Balance</t>
  </si>
  <si>
    <t>Net Cash - Ending Balance</t>
  </si>
  <si>
    <t>Supplemental</t>
  </si>
  <si>
    <t>Income Taxes - Paid/(Reimbursed) - Cash Flow - Supplemental</t>
  </si>
  <si>
    <t>Interest Paid - Cash Flow - Supplemental</t>
  </si>
  <si>
    <t>Interest &amp; Dividends - Received - Cash Flow - Supplemental</t>
  </si>
  <si>
    <t>CF from Optg Activities before Change in WC &amp; Int Payments</t>
  </si>
  <si>
    <t>Non-GAAP Free Cash Flow - Company Reported</t>
  </si>
  <si>
    <t>Cash Dividends Paid &amp; Common Stock Buyback - Net</t>
  </si>
  <si>
    <t>Common Stock Buyback - Net</t>
  </si>
  <si>
    <t>Depreciation, Depletion &amp; Amortization - Cash Flow</t>
  </si>
  <si>
    <t>Free Cash Flow to Equity</t>
  </si>
  <si>
    <t>Free Cash Flow Net of Dividends</t>
  </si>
  <si>
    <t>Free Cash Flow</t>
  </si>
  <si>
    <t>Dividends Provided/Paid - Common</t>
  </si>
  <si>
    <t>The inventory t/o ratio seems to be falling from 2.21 (2020) to 1.87 (2023). This is reflected of the fact that Covid 19 has changed consumption patterns which is making it difficult to products leading to buildup of stocks. However the ratio improved to 1.93 (2024) showing that inventory started moving faster possibly due to post Covid Normalisation</t>
  </si>
  <si>
    <t>Reurn to Shareholders</t>
  </si>
  <si>
    <t>The debt-to-equity ratio increased from from 0.87 (2020) to 1.73 (2024). This reflects the increasing role of debt in financing operations. When Share buyback is also taken into account, it means debt is replacing equity while maintaining total capital. This helps to boost EPS  and increases its market valuation however this also increases financial risk due to rising interest costs. This decreases Nestle's ability to be flexible about its capital deployment during adverse market scenarios</t>
  </si>
  <si>
    <t>Nestle's Financial Leverage is increasing means that interest payments are increasing. This is consistent with growth in debt in the capital structure of Nestle. But a rising Financial leverage indicates that debt is eating into Nestle's ability to convert revenue and operating profits into taxable profits. If the interest expense grows too large, then it ends up affecting the profit availble to shareholders</t>
  </si>
  <si>
    <t>Effeciency Ratios</t>
  </si>
  <si>
    <t>Asset T/O ratio</t>
  </si>
  <si>
    <t>Inventory T/o ratio</t>
  </si>
  <si>
    <t>The asset t/o ratio remain stable throughout the review period with modest fluctuations. The ratio fell in 2024 which is coinciding with fall in sales due to changes in market demand.</t>
  </si>
  <si>
    <t>Profitability Ratios</t>
  </si>
  <si>
    <t>NP% falls the GP% for the most part except 2021. The fall in NP in 2021 and its subsequent increase in margin is normalisation to pre covid levels. 2021 recorded exceptionally high net profit due to non operating profit on the disposal on L Oreal shares and is not part of its operations. The profit on disposal was used to fund buyback of its shares</t>
  </si>
  <si>
    <t>GP% fell in 2021, cost inflation (raw materials), discounting, or mix shift to lower margin products. 2021 to 2024 (gradual rise to 16.02%): Improved gross margin due to return to pre covid levels. The 2024 GP% shows that the company regained margin on 2024. The fall in 2021 is due to effect of Covid</t>
  </si>
  <si>
    <t>Return on equity</t>
  </si>
  <si>
    <t>Return on capital employed</t>
  </si>
  <si>
    <t>Return on assets</t>
  </si>
  <si>
    <t>Returns</t>
  </si>
  <si>
    <t>Nestle's ROE has been stable for the most part showcasing strong profit generation capability from the equity capital invested in the company The 2022 dip was due to lower net profit from Covid effects, howeve it is going back to pre covid normal levels</t>
  </si>
  <si>
    <t>ROCE fell in 2021 because the capital employed increased due to high retained earnings from the profits on disposal of L'Oreal shares. ROCE has been consistent for the most part with minor variations due to covid and change inconsumption pattern</t>
  </si>
  <si>
    <t>Peaked in 2021 due to strong net profit that year; big drop in 2022 (net profit fell while assets stayed high). The ratio is stabilising to normal levels due to post covid normalisation. Overall Nestle has good profit generation capacity from its assets both tangible and imtangible assets</t>
  </si>
  <si>
    <t>Market to Book Value</t>
  </si>
  <si>
    <t>Leverage</t>
  </si>
  <si>
    <t>Nestle is value firm and that it provides consistent dividends.</t>
  </si>
  <si>
    <t>The debt-to-equity ratio increased from 0.87 (2020) to 1.73 (2024). This reflects the increasing role of debt in financing operations. When Share buyback is also taken into account, it means debt is replacing equity while maintaining total capital. This helps to boost EPS  and increases its market valuation however this also increases financial risk due to rising interest costs. This decreases Nestle's ability to be flexible about its capital deployment during adverse market scenarios</t>
  </si>
  <si>
    <t>Nestle’s GP margin fell in 2021 due cost due to the pandemic. 2021 to 2024 saw a gradual rise to 16.02% due to return to pre covid levels. The 2024 GP margin shows that the company regained pre covid margin signalling return to normal business environemnt</t>
  </si>
  <si>
    <t>NP% falls the GP% for the most part except 2021. The fall in NP in 2021 and its subsequent increase in margin is normalisation to pre covid levels. 2021 recorded exceptionally high net profit due to non operating profit on the disposal on L Oreal shares and is not part of its operations. The profit on disposal was used to fund buyback of its shares. . The Net Profit margin is yet to reach pre covid levels as there are factors other operations that governance issues that are bringing down overall net profit margin.</t>
  </si>
  <si>
    <t>Valuation</t>
  </si>
  <si>
    <t>The instrinsic value as per Refinitiv database is 72.89. so the nestle shares are over valued slightly.</t>
  </si>
  <si>
    <t>The instrinsic value as per Refinitiv database is 72.92 as on 30/10/2025. so the nestle shares are over valued slightly. However considerig that Nestle is value firm and that it provides consistent dividends.</t>
  </si>
  <si>
    <t>The market value to book value was rising showing positive sentiment but it fell in 2024 due to multiple factors like falling sales as well as governance issues like CEO being fired for under performance which reduced customer confidence in the firm which is reflected in the prices and reduced P/E ratio and Market to Book Value</t>
  </si>
  <si>
    <t>Consolidated Balance Sheet (in millions of CHF) (Nestle, 2025; Nestle, 2024; Nestle, 2023; Nestle, 2022; Nestle, 2021; Nestle, 2020)</t>
  </si>
  <si>
    <t>Consolidated Profit and Loss (in millions of CHF)  (Nestle, 2025; Nestle, 2024; Nestle, 2023; Nestle, 2022; Nestle, 2021; Nestle, 2020)</t>
  </si>
  <si>
    <t>Particulars  (Nestle, 2025; Nestle, 2024; Nestle, 2023; Nestle, 2022; Nestle, 2021; Nestle,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</si>
</sst>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00\);\-"/>
    <numFmt numFmtId="167" formatCode="0.000"/>
    <numFmt numFmtId="168" formatCode="0.0"/>
    <numFmt numFmtId="169" formatCode="#,##0.0"/>
  </numFmts>
  <fonts count="17"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1"/>
      <name val="Calibri"/>
      <family val="2"/>
      <scheme val="minor"/>
    </font>
    <font>
      <u/>
      <sz val="11"/>
      <color theme="10"/>
      <name val="Calibri"/>
      <family val="2"/>
      <scheme val="minor"/>
    </font>
    <font>
      <sz val="11"/>
      <color rgb="FF000000"/>
      <name val="Calibri"/>
      <family val="2"/>
    </font>
    <font>
      <b/>
      <sz val="10"/>
      <color rgb="FFFFFFFF"/>
      <name val="Calibri"/>
      <family val="2"/>
    </font>
    <font>
      <sz val="10"/>
      <color rgb="FFFFFFFF"/>
      <name val="Calibri"/>
      <family val="2"/>
    </font>
    <font>
      <sz val="10"/>
      <color rgb="FF000000"/>
      <name val="Calibri"/>
      <family val="2"/>
    </font>
    <font>
      <b/>
      <sz val="10"/>
      <color rgb="FF334BFF"/>
      <name val="Calibri"/>
      <family val="2"/>
    </font>
    <font>
      <b/>
      <sz val="10"/>
      <color rgb="FF000000"/>
      <name val="Calibri"/>
      <family val="2"/>
    </font>
    <font>
      <sz val="10"/>
      <color rgb="FFF5475B"/>
      <name val="Calibri"/>
      <family val="2"/>
    </font>
    <font>
      <b/>
      <sz val="10"/>
      <color rgb="FFF5475B"/>
      <name val="Calibri"/>
      <family val="2"/>
    </font>
    <font>
      <b/>
      <sz val="14"/>
      <color rgb="FF334BFF"/>
      <name val="Calibri"/>
      <family val="2"/>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334BFF"/>
        <bgColor rgb="FF334BFF"/>
      </patternFill>
    </fill>
    <fill>
      <patternFill patternType="solid">
        <fgColor rgb="FFD5D8DB"/>
        <bgColor rgb="FFD5D8DB"/>
      </patternFill>
    </fill>
  </fills>
  <borders count="7">
    <border>
      <left/>
      <right/>
      <top/>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right/>
      <top/>
      <bottom style="thick">
        <color rgb="FF334BFF"/>
      </bottom>
      <diagonal/>
    </border>
    <border>
      <left style="thin">
        <color rgb="FF334BFF"/>
      </left>
      <right style="thin">
        <color rgb="FF334BFF"/>
      </right>
      <top style="thin">
        <color rgb="FF334BFF"/>
      </top>
      <bottom style="thin">
        <color rgb="FF334BFF"/>
      </bottom>
      <diagonal/>
    </border>
    <border>
      <left style="thin">
        <color rgb="FFD5D8DB"/>
      </left>
      <right style="thin">
        <color rgb="FFD5D8DB"/>
      </right>
      <top style="thin">
        <color rgb="FFD5D8DB"/>
      </top>
      <bottom style="thin">
        <color rgb="FFD5D8DB"/>
      </bottom>
      <diagonal/>
    </border>
  </borders>
  <cellStyleXfs count="4">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Border="0" applyAlignment="0"/>
  </cellStyleXfs>
  <cellXfs count="75">
    <xf numFmtId="0" fontId="0" fillId="0" borderId="0" xfId="0"/>
    <xf numFmtId="0" fontId="1" fillId="0" borderId="0" xfId="0" applyFont="1"/>
    <xf numFmtId="0" fontId="1" fillId="0" borderId="0" xfId="0" applyFont="1" applyAlignment="1">
      <alignment vertical="center"/>
    </xf>
    <xf numFmtId="0" fontId="0" fillId="0" borderId="3" xfId="0" applyBorder="1"/>
    <xf numFmtId="0" fontId="1" fillId="0" borderId="3" xfId="0" applyFont="1" applyBorder="1"/>
    <xf numFmtId="164" fontId="1" fillId="0" borderId="0" xfId="0" applyNumberFormat="1" applyFont="1"/>
    <xf numFmtId="164" fontId="0" fillId="0" borderId="0" xfId="0" applyNumberFormat="1"/>
    <xf numFmtId="164" fontId="1" fillId="0" borderId="3" xfId="0" applyNumberFormat="1" applyFont="1" applyBorder="1"/>
    <xf numFmtId="164" fontId="0" fillId="0" borderId="3" xfId="0" applyNumberFormat="1" applyBorder="1"/>
    <xf numFmtId="164" fontId="0" fillId="0" borderId="2" xfId="0" applyNumberFormat="1" applyBorder="1"/>
    <xf numFmtId="164" fontId="1" fillId="0" borderId="1" xfId="0" applyNumberFormat="1" applyFont="1" applyBorder="1"/>
    <xf numFmtId="164" fontId="1" fillId="0" borderId="2" xfId="0" applyNumberFormat="1" applyFont="1" applyBorder="1"/>
    <xf numFmtId="164" fontId="0" fillId="0" borderId="1" xfId="0" applyNumberFormat="1" applyBorder="1"/>
    <xf numFmtId="164" fontId="0" fillId="0" borderId="0" xfId="0" applyNumberFormat="1" applyAlignment="1">
      <alignment horizontal="right" vertical="center"/>
    </xf>
    <xf numFmtId="10" fontId="0" fillId="0" borderId="0" xfId="0" applyNumberFormat="1"/>
    <xf numFmtId="165" fontId="0" fillId="0" borderId="0" xfId="0" applyNumberFormat="1"/>
    <xf numFmtId="164" fontId="0" fillId="2" borderId="0" xfId="0" applyNumberFormat="1" applyFill="1"/>
    <xf numFmtId="164" fontId="1" fillId="0" borderId="2" xfId="0" applyNumberFormat="1" applyFont="1" applyBorder="1" applyAlignment="1">
      <alignment horizontal="right"/>
    </xf>
    <xf numFmtId="166" fontId="0" fillId="0" borderId="0" xfId="0" applyNumberFormat="1"/>
    <xf numFmtId="2" fontId="0" fillId="0" borderId="0" xfId="0" applyNumberFormat="1"/>
    <xf numFmtId="0" fontId="0" fillId="0" borderId="0" xfId="0" applyAlignment="1">
      <alignment wrapText="1"/>
    </xf>
    <xf numFmtId="0" fontId="2" fillId="0" borderId="0" xfId="0" applyFont="1"/>
    <xf numFmtId="0" fontId="3" fillId="0" borderId="0" xfId="0" applyFont="1" applyAlignment="1">
      <alignment horizontal="center"/>
    </xf>
    <xf numFmtId="0" fontId="1" fillId="0" borderId="0" xfId="0" applyFont="1" applyAlignment="1">
      <alignment horizontal="center"/>
    </xf>
    <xf numFmtId="168" fontId="0" fillId="0" borderId="0" xfId="0" applyNumberFormat="1"/>
    <xf numFmtId="10" fontId="0" fillId="0" borderId="0" xfId="1" applyNumberFormat="1" applyFont="1"/>
    <xf numFmtId="0" fontId="3" fillId="0" borderId="0" xfId="0" applyFont="1"/>
    <xf numFmtId="165" fontId="0" fillId="0" borderId="0" xfId="1" applyNumberFormat="1" applyFont="1"/>
    <xf numFmtId="0" fontId="1" fillId="0" borderId="0" xfId="0" applyFont="1" applyAlignment="1">
      <alignment horizontal="left"/>
    </xf>
    <xf numFmtId="0" fontId="0" fillId="0" borderId="0" xfId="0" applyAlignment="1">
      <alignment horizontal="right" vertical="center"/>
    </xf>
    <xf numFmtId="0" fontId="2" fillId="0" borderId="0" xfId="0" applyFont="1" applyAlignment="1">
      <alignment horizontal="right" vertical="center"/>
    </xf>
    <xf numFmtId="9" fontId="1" fillId="0" borderId="0" xfId="1" applyFont="1" applyAlignment="1">
      <alignment horizontal="center"/>
    </xf>
    <xf numFmtId="10" fontId="4" fillId="0" borderId="0" xfId="1" applyNumberFormat="1" applyFont="1"/>
    <xf numFmtId="10" fontId="0" fillId="0" borderId="0" xfId="1" applyNumberFormat="1" applyFont="1" applyAlignment="1">
      <alignment horizontal="right" vertical="center"/>
    </xf>
    <xf numFmtId="167" fontId="0" fillId="0" borderId="0" xfId="1" applyNumberFormat="1" applyFont="1"/>
    <xf numFmtId="2" fontId="0" fillId="0" borderId="0" xfId="1" applyNumberFormat="1" applyFont="1"/>
    <xf numFmtId="0" fontId="0" fillId="0" borderId="0" xfId="0" applyAlignment="1">
      <alignment vertical="center" wrapText="1"/>
    </xf>
    <xf numFmtId="0" fontId="1" fillId="0" borderId="0" xfId="0" applyFont="1" applyAlignment="1">
      <alignment vertical="center" wrapText="1"/>
    </xf>
    <xf numFmtId="0" fontId="1" fillId="0" borderId="2" xfId="0" applyFont="1" applyBorder="1"/>
    <xf numFmtId="0" fontId="0" fillId="0" borderId="0" xfId="1" applyNumberFormat="1" applyFont="1"/>
    <xf numFmtId="0" fontId="5" fillId="0" borderId="0" xfId="2"/>
    <xf numFmtId="0" fontId="7" fillId="3" borderId="4" xfId="3" applyFont="1" applyFill="1" applyBorder="1"/>
    <xf numFmtId="0" fontId="8" fillId="3" borderId="4" xfId="3" applyFont="1" applyFill="1" applyBorder="1"/>
    <xf numFmtId="0" fontId="6" fillId="0" borderId="0" xfId="3"/>
    <xf numFmtId="0" fontId="9" fillId="0" borderId="0" xfId="3" applyFont="1"/>
    <xf numFmtId="0" fontId="10" fillId="0" borderId="0" xfId="3" applyFont="1"/>
    <xf numFmtId="0" fontId="8" fillId="3" borderId="5" xfId="3" applyFont="1" applyFill="1" applyBorder="1" applyAlignment="1">
      <alignment wrapText="1"/>
    </xf>
    <xf numFmtId="0" fontId="8" fillId="3" borderId="5" xfId="3" applyFont="1" applyFill="1" applyBorder="1" applyAlignment="1">
      <alignment horizontal="left" vertical="center" wrapText="1"/>
    </xf>
    <xf numFmtId="0" fontId="11" fillId="4" borderId="6" xfId="3" applyFont="1" applyFill="1" applyBorder="1" applyAlignment="1">
      <alignment horizontal="left" vertical="center" wrapText="1"/>
    </xf>
    <xf numFmtId="0" fontId="6" fillId="4" borderId="6" xfId="3" applyFill="1" applyBorder="1" applyAlignment="1">
      <alignment wrapText="1"/>
    </xf>
    <xf numFmtId="0" fontId="9" fillId="0" borderId="6" xfId="3" applyFont="1" applyBorder="1" applyAlignment="1">
      <alignment vertical="center" wrapText="1"/>
    </xf>
    <xf numFmtId="3" fontId="9" fillId="0" borderId="6" xfId="3" applyNumberFormat="1" applyFont="1" applyBorder="1" applyAlignment="1">
      <alignment horizontal="right" vertical="center" wrapText="1"/>
    </xf>
    <xf numFmtId="169" fontId="9" fillId="0" borderId="6" xfId="3" applyNumberFormat="1" applyFont="1" applyBorder="1" applyAlignment="1">
      <alignment horizontal="right" vertical="center" wrapText="1"/>
    </xf>
    <xf numFmtId="0" fontId="9" fillId="0" borderId="6" xfId="3" applyFont="1" applyBorder="1" applyAlignment="1">
      <alignment horizontal="left" vertical="center" wrapText="1" indent="2"/>
    </xf>
    <xf numFmtId="169" fontId="12" fillId="0" borderId="6" xfId="3" applyNumberFormat="1" applyFont="1" applyBorder="1" applyAlignment="1">
      <alignment horizontal="right" vertical="center" wrapText="1"/>
    </xf>
    <xf numFmtId="4" fontId="12" fillId="0" borderId="6" xfId="3" applyNumberFormat="1" applyFont="1" applyBorder="1" applyAlignment="1">
      <alignment horizontal="right" vertical="center" wrapText="1"/>
    </xf>
    <xf numFmtId="4" fontId="9" fillId="0" borderId="6" xfId="3" applyNumberFormat="1" applyFont="1" applyBorder="1" applyAlignment="1">
      <alignment horizontal="right" vertical="center" wrapText="1"/>
    </xf>
    <xf numFmtId="0" fontId="9" fillId="0" borderId="6" xfId="3" applyFont="1" applyBorder="1" applyAlignment="1">
      <alignment horizontal="left" vertical="center" wrapText="1" indent="4"/>
    </xf>
    <xf numFmtId="0" fontId="11" fillId="0" borderId="6" xfId="3" applyFont="1" applyBorder="1" applyAlignment="1">
      <alignment vertical="center" wrapText="1"/>
    </xf>
    <xf numFmtId="3" fontId="11" fillId="0" borderId="6" xfId="3" applyNumberFormat="1" applyFont="1" applyBorder="1" applyAlignment="1">
      <alignment horizontal="right" vertical="center" wrapText="1"/>
    </xf>
    <xf numFmtId="169" fontId="13" fillId="0" borderId="6" xfId="3" applyNumberFormat="1" applyFont="1" applyBorder="1" applyAlignment="1">
      <alignment horizontal="right" vertical="center" wrapText="1"/>
    </xf>
    <xf numFmtId="3" fontId="12" fillId="0" borderId="6" xfId="3" applyNumberFormat="1" applyFont="1" applyBorder="1" applyAlignment="1">
      <alignment horizontal="right" vertical="center" wrapText="1"/>
    </xf>
    <xf numFmtId="0" fontId="9" fillId="0" borderId="6" xfId="3" applyFont="1" applyBorder="1" applyAlignment="1">
      <alignment horizontal="left" vertical="center" wrapText="1" indent="6"/>
    </xf>
    <xf numFmtId="3" fontId="13" fillId="0" borderId="6" xfId="3" applyNumberFormat="1" applyFont="1" applyBorder="1" applyAlignment="1">
      <alignment horizontal="right" vertical="center" wrapText="1"/>
    </xf>
    <xf numFmtId="169" fontId="11" fillId="0" borderId="6" xfId="3" applyNumberFormat="1" applyFont="1" applyBorder="1" applyAlignment="1">
      <alignment horizontal="right" vertical="center" wrapText="1"/>
    </xf>
    <xf numFmtId="0" fontId="14" fillId="0" borderId="0" xfId="0" applyFont="1"/>
    <xf numFmtId="0" fontId="15" fillId="0" borderId="0" xfId="0" applyFont="1"/>
    <xf numFmtId="0" fontId="16" fillId="0" borderId="0" xfId="0" applyFont="1"/>
    <xf numFmtId="0" fontId="3" fillId="0" borderId="0" xfId="0" applyFont="1" applyAlignment="1">
      <alignment vertical="center"/>
    </xf>
    <xf numFmtId="0" fontId="0" fillId="0" borderId="0" xfId="0" applyAlignment="1">
      <alignment wrapText="1"/>
    </xf>
    <xf numFmtId="0" fontId="0" fillId="0" borderId="0" xfId="0"/>
    <xf numFmtId="0" fontId="0" fillId="0" borderId="0" xfId="0" applyAlignment="1">
      <alignment vertical="center" wrapText="1"/>
    </xf>
    <xf numFmtId="0" fontId="1" fillId="0" borderId="0" xfId="0" applyFont="1"/>
    <xf numFmtId="0" fontId="1" fillId="0" borderId="0" xfId="0" applyFont="1" applyAlignment="1">
      <alignment horizontal="center" vertical="center" wrapText="1"/>
    </xf>
    <xf numFmtId="0" fontId="1" fillId="0" borderId="0" xfId="0" applyFont="1" applyAlignment="1">
      <alignment horizontal="center" vertical="center" wrapText="1"/>
    </xf>
  </cellXfs>
  <cellStyles count="4">
    <cellStyle name="Hyperlink" xfId="2" builtinId="8"/>
    <cellStyle name="Normal" xfId="0" builtinId="0"/>
    <cellStyle name="Normal 2" xfId="3" xr:uid="{9FB103A9-6C78-4293-9A8F-6871840880CC}"/>
    <cellStyle name="Percent" xfId="1" builtinId="5"/>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Charts!$C$31</c:f>
              <c:strCache>
                <c:ptCount val="1"/>
                <c:pt idx="0">
                  <c:v>total equity</c:v>
                </c:pt>
              </c:strCache>
            </c:strRef>
          </c:tx>
          <c:spPr>
            <a:solidFill>
              <a:schemeClr val="accent3"/>
            </a:solidFill>
            <a:ln>
              <a:noFill/>
            </a:ln>
            <a:effectLst/>
          </c:spPr>
          <c:invertIfNegative val="0"/>
          <c:cat>
            <c:numRef>
              <c:f>Charts!$A$32:$A$36</c:f>
              <c:numCache>
                <c:formatCode>General</c:formatCode>
                <c:ptCount val="5"/>
                <c:pt idx="0">
                  <c:v>2020</c:v>
                </c:pt>
                <c:pt idx="1">
                  <c:v>2021</c:v>
                </c:pt>
                <c:pt idx="2">
                  <c:v>2022</c:v>
                </c:pt>
                <c:pt idx="3">
                  <c:v>2023</c:v>
                </c:pt>
                <c:pt idx="4">
                  <c:v>2024</c:v>
                </c:pt>
              </c:numCache>
            </c:numRef>
          </c:cat>
          <c:val>
            <c:numRef>
              <c:f>Charts!$C$32:$C$36</c:f>
              <c:numCache>
                <c:formatCode>General</c:formatCode>
                <c:ptCount val="5"/>
                <c:pt idx="0">
                  <c:v>46514</c:v>
                </c:pt>
                <c:pt idx="1">
                  <c:v>53727</c:v>
                </c:pt>
                <c:pt idx="2">
                  <c:v>42792</c:v>
                </c:pt>
                <c:pt idx="3">
                  <c:v>36387</c:v>
                </c:pt>
                <c:pt idx="4">
                  <c:v>36693</c:v>
                </c:pt>
              </c:numCache>
            </c:numRef>
          </c:val>
          <c:extLst>
            <c:ext xmlns:c16="http://schemas.microsoft.com/office/drawing/2014/chart" uri="{C3380CC4-5D6E-409C-BE32-E72D297353CC}">
              <c16:uniqueId val="{00000000-65EC-4AAB-BB9A-3797A09F8F5A}"/>
            </c:ext>
          </c:extLst>
        </c:ser>
        <c:ser>
          <c:idx val="1"/>
          <c:order val="1"/>
          <c:tx>
            <c:strRef>
              <c:f>Charts!$B$31</c:f>
              <c:strCache>
                <c:ptCount val="1"/>
                <c:pt idx="0">
                  <c:v>total debt</c:v>
                </c:pt>
              </c:strCache>
            </c:strRef>
          </c:tx>
          <c:spPr>
            <a:solidFill>
              <a:schemeClr val="accent2"/>
            </a:solidFill>
            <a:ln>
              <a:noFill/>
            </a:ln>
            <a:effectLst/>
          </c:spPr>
          <c:invertIfNegative val="0"/>
          <c:cat>
            <c:numRef>
              <c:f>Charts!$A$32:$A$36</c:f>
              <c:numCache>
                <c:formatCode>General</c:formatCode>
                <c:ptCount val="5"/>
                <c:pt idx="0">
                  <c:v>2020</c:v>
                </c:pt>
                <c:pt idx="1">
                  <c:v>2021</c:v>
                </c:pt>
                <c:pt idx="2">
                  <c:v>2022</c:v>
                </c:pt>
                <c:pt idx="3">
                  <c:v>2023</c:v>
                </c:pt>
                <c:pt idx="4">
                  <c:v>2024</c:v>
                </c:pt>
              </c:numCache>
            </c:numRef>
          </c:cat>
          <c:val>
            <c:numRef>
              <c:f>Charts!$B$32:$B$36</c:f>
              <c:numCache>
                <c:formatCode>General</c:formatCode>
                <c:ptCount val="5"/>
                <c:pt idx="0">
                  <c:v>39947</c:v>
                </c:pt>
                <c:pt idx="1">
                  <c:v>46574</c:v>
                </c:pt>
                <c:pt idx="2">
                  <c:v>54312</c:v>
                </c:pt>
                <c:pt idx="3">
                  <c:v>55241</c:v>
                </c:pt>
                <c:pt idx="4">
                  <c:v>63560</c:v>
                </c:pt>
              </c:numCache>
            </c:numRef>
          </c:val>
          <c:extLst>
            <c:ext xmlns:c16="http://schemas.microsoft.com/office/drawing/2014/chart" uri="{C3380CC4-5D6E-409C-BE32-E72D297353CC}">
              <c16:uniqueId val="{00000001-65EC-4AAB-BB9A-3797A09F8F5A}"/>
            </c:ext>
          </c:extLst>
        </c:ser>
        <c:dLbls>
          <c:showLegendKey val="0"/>
          <c:showVal val="0"/>
          <c:showCatName val="0"/>
          <c:showSerName val="0"/>
          <c:showPercent val="0"/>
          <c:showBubbleSize val="0"/>
        </c:dLbls>
        <c:gapWidth val="150"/>
        <c:axId val="224104144"/>
        <c:axId val="819322928"/>
      </c:barChart>
      <c:lineChart>
        <c:grouping val="standard"/>
        <c:varyColors val="0"/>
        <c:ser>
          <c:idx val="3"/>
          <c:order val="2"/>
          <c:tx>
            <c:strRef>
              <c:f>Charts!$D$31</c:f>
              <c:strCache>
                <c:ptCount val="1"/>
                <c:pt idx="0">
                  <c:v>D O E</c:v>
                </c:pt>
              </c:strCache>
            </c:strRef>
          </c:tx>
          <c:spPr>
            <a:ln w="28575" cap="rnd">
              <a:solidFill>
                <a:schemeClr val="accent4"/>
              </a:solidFill>
              <a:round/>
            </a:ln>
            <a:effectLst/>
          </c:spPr>
          <c:marker>
            <c:symbol val="none"/>
          </c:marker>
          <c:val>
            <c:numRef>
              <c:f>Charts!$D$32:$D$36</c:f>
              <c:numCache>
                <c:formatCode>0.00</c:formatCode>
                <c:ptCount val="5"/>
                <c:pt idx="0">
                  <c:v>0.85881670034828228</c:v>
                </c:pt>
                <c:pt idx="1">
                  <c:v>0.86686396039235392</c:v>
                </c:pt>
                <c:pt idx="2">
                  <c:v>1.269209197980931</c:v>
                </c:pt>
                <c:pt idx="3">
                  <c:v>1.51815208728392</c:v>
                </c:pt>
                <c:pt idx="4">
                  <c:v>1.7322105033657647</c:v>
                </c:pt>
              </c:numCache>
            </c:numRef>
          </c:val>
          <c:smooth val="0"/>
          <c:extLst>
            <c:ext xmlns:c16="http://schemas.microsoft.com/office/drawing/2014/chart" uri="{C3380CC4-5D6E-409C-BE32-E72D297353CC}">
              <c16:uniqueId val="{00000002-65EC-4AAB-BB9A-3797A09F8F5A}"/>
            </c:ext>
          </c:extLst>
        </c:ser>
        <c:dLbls>
          <c:showLegendKey val="0"/>
          <c:showVal val="0"/>
          <c:showCatName val="0"/>
          <c:showSerName val="0"/>
          <c:showPercent val="0"/>
          <c:showBubbleSize val="0"/>
        </c:dLbls>
        <c:marker val="1"/>
        <c:smooth val="0"/>
        <c:axId val="1992977536"/>
        <c:axId val="1992965536"/>
      </c:lineChart>
      <c:catAx>
        <c:axId val="2241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2928"/>
        <c:crosses val="autoZero"/>
        <c:auto val="1"/>
        <c:lblAlgn val="ctr"/>
        <c:lblOffset val="100"/>
        <c:noMultiLvlLbl val="0"/>
      </c:catAx>
      <c:valAx>
        <c:axId val="81932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04144"/>
        <c:crosses val="autoZero"/>
        <c:crossBetween val="between"/>
      </c:valAx>
      <c:valAx>
        <c:axId val="1992965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7536"/>
        <c:crosses val="max"/>
        <c:crossBetween val="between"/>
      </c:valAx>
      <c:catAx>
        <c:axId val="1992977536"/>
        <c:scaling>
          <c:orientation val="minMax"/>
        </c:scaling>
        <c:delete val="1"/>
        <c:axPos val="b"/>
        <c:majorTickMark val="out"/>
        <c:minorTickMark val="none"/>
        <c:tickLblPos val="nextTo"/>
        <c:crossAx val="1992965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ASSET</a:t>
            </a:r>
            <a:r>
              <a:rPr lang="en-GB" baseline="0"/>
              <a:t> 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Charts!$C$40</c:f>
              <c:strCache>
                <c:ptCount val="1"/>
                <c:pt idx="0">
                  <c:v>total asset</c:v>
                </c:pt>
              </c:strCache>
            </c:strRef>
          </c:tx>
          <c:spPr>
            <a:solidFill>
              <a:schemeClr val="accent3"/>
            </a:solidFill>
            <a:ln>
              <a:noFill/>
            </a:ln>
            <a:effectLst/>
          </c:spPr>
          <c:invertIfNegative val="0"/>
          <c:cat>
            <c:numRef>
              <c:f>Charts!$A$41:$A$45</c:f>
              <c:numCache>
                <c:formatCode>General</c:formatCode>
                <c:ptCount val="5"/>
                <c:pt idx="0">
                  <c:v>2020</c:v>
                </c:pt>
                <c:pt idx="1">
                  <c:v>2021</c:v>
                </c:pt>
                <c:pt idx="2">
                  <c:v>2022</c:v>
                </c:pt>
                <c:pt idx="3">
                  <c:v>2023</c:v>
                </c:pt>
                <c:pt idx="4">
                  <c:v>2024</c:v>
                </c:pt>
              </c:numCache>
            </c:numRef>
          </c:cat>
          <c:val>
            <c:numRef>
              <c:f>Charts!$C$41:$C$45</c:f>
              <c:numCache>
                <c:formatCode>General</c:formatCode>
                <c:ptCount val="5"/>
                <c:pt idx="0">
                  <c:v>124028</c:v>
                </c:pt>
                <c:pt idx="1">
                  <c:v>139142</c:v>
                </c:pt>
                <c:pt idx="2">
                  <c:v>135182</c:v>
                </c:pt>
                <c:pt idx="3">
                  <c:v>126550</c:v>
                </c:pt>
                <c:pt idx="4">
                  <c:v>139264</c:v>
                </c:pt>
              </c:numCache>
            </c:numRef>
          </c:val>
          <c:extLst>
            <c:ext xmlns:c16="http://schemas.microsoft.com/office/drawing/2014/chart" uri="{C3380CC4-5D6E-409C-BE32-E72D297353CC}">
              <c16:uniqueId val="{00000000-A630-46D9-B8D2-1C3531F7D03F}"/>
            </c:ext>
          </c:extLst>
        </c:ser>
        <c:ser>
          <c:idx val="1"/>
          <c:order val="1"/>
          <c:tx>
            <c:strRef>
              <c:f>Charts!$B$40</c:f>
              <c:strCache>
                <c:ptCount val="1"/>
                <c:pt idx="0">
                  <c:v>SALES</c:v>
                </c:pt>
              </c:strCache>
            </c:strRef>
          </c:tx>
          <c:spPr>
            <a:solidFill>
              <a:schemeClr val="accent2"/>
            </a:solidFill>
            <a:ln>
              <a:noFill/>
            </a:ln>
            <a:effectLst/>
          </c:spPr>
          <c:invertIfNegative val="0"/>
          <c:cat>
            <c:numRef>
              <c:f>Charts!$A$41:$A$45</c:f>
              <c:numCache>
                <c:formatCode>General</c:formatCode>
                <c:ptCount val="5"/>
                <c:pt idx="0">
                  <c:v>2020</c:v>
                </c:pt>
                <c:pt idx="1">
                  <c:v>2021</c:v>
                </c:pt>
                <c:pt idx="2">
                  <c:v>2022</c:v>
                </c:pt>
                <c:pt idx="3">
                  <c:v>2023</c:v>
                </c:pt>
                <c:pt idx="4">
                  <c:v>2024</c:v>
                </c:pt>
              </c:numCache>
            </c:numRef>
          </c:cat>
          <c:val>
            <c:numRef>
              <c:f>Charts!$B$41:$B$45</c:f>
              <c:numCache>
                <c:formatCode>General</c:formatCode>
                <c:ptCount val="5"/>
                <c:pt idx="0">
                  <c:v>84343</c:v>
                </c:pt>
                <c:pt idx="1">
                  <c:v>87088</c:v>
                </c:pt>
                <c:pt idx="2">
                  <c:v>94424</c:v>
                </c:pt>
                <c:pt idx="3">
                  <c:v>92998</c:v>
                </c:pt>
                <c:pt idx="4">
                  <c:v>91354</c:v>
                </c:pt>
              </c:numCache>
            </c:numRef>
          </c:val>
          <c:extLst>
            <c:ext xmlns:c16="http://schemas.microsoft.com/office/drawing/2014/chart" uri="{C3380CC4-5D6E-409C-BE32-E72D297353CC}">
              <c16:uniqueId val="{00000001-A630-46D9-B8D2-1C3531F7D03F}"/>
            </c:ext>
          </c:extLst>
        </c:ser>
        <c:dLbls>
          <c:showLegendKey val="0"/>
          <c:showVal val="0"/>
          <c:showCatName val="0"/>
          <c:showSerName val="0"/>
          <c:showPercent val="0"/>
          <c:showBubbleSize val="0"/>
        </c:dLbls>
        <c:gapWidth val="150"/>
        <c:axId val="1145733520"/>
        <c:axId val="1145735232"/>
      </c:barChart>
      <c:lineChart>
        <c:grouping val="standard"/>
        <c:varyColors val="0"/>
        <c:ser>
          <c:idx val="3"/>
          <c:order val="2"/>
          <c:tx>
            <c:strRef>
              <c:f>Charts!$D$40</c:f>
              <c:strCache>
                <c:ptCount val="1"/>
                <c:pt idx="0">
                  <c:v>Asset T/O Ratio</c:v>
                </c:pt>
              </c:strCache>
            </c:strRef>
          </c:tx>
          <c:spPr>
            <a:ln w="28575" cap="rnd">
              <a:solidFill>
                <a:schemeClr val="accent4"/>
              </a:solidFill>
              <a:round/>
            </a:ln>
            <a:effectLst/>
          </c:spPr>
          <c:marker>
            <c:symbol val="none"/>
          </c:marker>
          <c:val>
            <c:numRef>
              <c:f>Charts!$D$41:$D$45</c:f>
              <c:numCache>
                <c:formatCode>0.00</c:formatCode>
                <c:ptCount val="5"/>
                <c:pt idx="0">
                  <c:v>0.68003192827426062</c:v>
                </c:pt>
                <c:pt idx="1">
                  <c:v>0.62589297264664878</c:v>
                </c:pt>
                <c:pt idx="2">
                  <c:v>0.69849536180852478</c:v>
                </c:pt>
                <c:pt idx="3">
                  <c:v>0.73487159225602527</c:v>
                </c:pt>
                <c:pt idx="4">
                  <c:v>0.65597713694852944</c:v>
                </c:pt>
              </c:numCache>
            </c:numRef>
          </c:val>
          <c:smooth val="0"/>
          <c:extLst>
            <c:ext xmlns:c16="http://schemas.microsoft.com/office/drawing/2014/chart" uri="{C3380CC4-5D6E-409C-BE32-E72D297353CC}">
              <c16:uniqueId val="{00000002-A630-46D9-B8D2-1C3531F7D03F}"/>
            </c:ext>
          </c:extLst>
        </c:ser>
        <c:dLbls>
          <c:showLegendKey val="0"/>
          <c:showVal val="0"/>
          <c:showCatName val="0"/>
          <c:showSerName val="0"/>
          <c:showPercent val="0"/>
          <c:showBubbleSize val="0"/>
        </c:dLbls>
        <c:marker val="1"/>
        <c:smooth val="0"/>
        <c:axId val="1152208192"/>
        <c:axId val="1390199984"/>
      </c:lineChart>
      <c:catAx>
        <c:axId val="11457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35232"/>
        <c:crosses val="autoZero"/>
        <c:auto val="1"/>
        <c:lblAlgn val="ctr"/>
        <c:lblOffset val="100"/>
        <c:noMultiLvlLbl val="0"/>
      </c:catAx>
      <c:valAx>
        <c:axId val="114573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33520"/>
        <c:crosses val="autoZero"/>
        <c:crossBetween val="between"/>
      </c:valAx>
      <c:valAx>
        <c:axId val="1390199984"/>
        <c:scaling>
          <c:orientation val="minMax"/>
        </c:scaling>
        <c:delete val="0"/>
        <c:axPos val="r"/>
        <c:numFmt formatCode="0.00"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08192"/>
        <c:crosses val="max"/>
        <c:crossBetween val="between"/>
      </c:valAx>
      <c:catAx>
        <c:axId val="1152208192"/>
        <c:scaling>
          <c:orientation val="minMax"/>
        </c:scaling>
        <c:delete val="1"/>
        <c:axPos val="b"/>
        <c:majorTickMark val="out"/>
        <c:minorTickMark val="none"/>
        <c:tickLblPos val="nextTo"/>
        <c:crossAx val="139019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INVENTORY</a:t>
            </a:r>
            <a:r>
              <a:rPr lang="en-GB" baseline="0"/>
              <a:t> T/O</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strRef>
              <c:f>Charts!$C$48</c:f>
              <c:strCache>
                <c:ptCount val="1"/>
                <c:pt idx="0">
                  <c:v>avg inventory</c:v>
                </c:pt>
              </c:strCache>
            </c:strRef>
          </c:tx>
          <c:spPr>
            <a:solidFill>
              <a:schemeClr val="accent3"/>
            </a:solidFill>
            <a:ln>
              <a:noFill/>
            </a:ln>
            <a:effectLst/>
          </c:spPr>
          <c:invertIfNegative val="0"/>
          <c:val>
            <c:numRef>
              <c:f>Charts!$C$49:$C$53</c:f>
              <c:numCache>
                <c:formatCode>General</c:formatCode>
                <c:ptCount val="5"/>
                <c:pt idx="0">
                  <c:v>19444</c:v>
                </c:pt>
                <c:pt idx="1">
                  <c:v>22083</c:v>
                </c:pt>
                <c:pt idx="2">
                  <c:v>27001</c:v>
                </c:pt>
                <c:pt idx="3">
                  <c:v>26915</c:v>
                </c:pt>
                <c:pt idx="4">
                  <c:v>25156</c:v>
                </c:pt>
              </c:numCache>
            </c:numRef>
          </c:val>
          <c:extLst>
            <c:ext xmlns:c16="http://schemas.microsoft.com/office/drawing/2014/chart" uri="{C3380CC4-5D6E-409C-BE32-E72D297353CC}">
              <c16:uniqueId val="{00000000-C14A-4E66-9FFC-AE75A080ABB3}"/>
            </c:ext>
          </c:extLst>
        </c:ser>
        <c:ser>
          <c:idx val="1"/>
          <c:order val="1"/>
          <c:tx>
            <c:strRef>
              <c:f>Charts!$B$48</c:f>
              <c:strCache>
                <c:ptCount val="1"/>
                <c:pt idx="0">
                  <c:v>cost of good sold</c:v>
                </c:pt>
              </c:strCache>
            </c:strRef>
          </c:tx>
          <c:spPr>
            <a:solidFill>
              <a:schemeClr val="accent2"/>
            </a:solidFill>
            <a:ln>
              <a:noFill/>
            </a:ln>
            <a:effectLst/>
          </c:spPr>
          <c:invertIfNegative val="0"/>
          <c:cat>
            <c:numRef>
              <c:f>Charts!$A$49:$A$53</c:f>
              <c:numCache>
                <c:formatCode>General</c:formatCode>
                <c:ptCount val="5"/>
                <c:pt idx="0">
                  <c:v>2020</c:v>
                </c:pt>
                <c:pt idx="1">
                  <c:v>2021</c:v>
                </c:pt>
                <c:pt idx="2">
                  <c:v>2022</c:v>
                </c:pt>
                <c:pt idx="3">
                  <c:v>2023</c:v>
                </c:pt>
                <c:pt idx="4">
                  <c:v>2024</c:v>
                </c:pt>
              </c:numCache>
            </c:numRef>
          </c:cat>
          <c:val>
            <c:numRef>
              <c:f>Charts!$B$49:$B$53</c:f>
              <c:numCache>
                <c:formatCode>General</c:formatCode>
                <c:ptCount val="5"/>
                <c:pt idx="0">
                  <c:v>42971</c:v>
                </c:pt>
                <c:pt idx="1">
                  <c:v>45468</c:v>
                </c:pt>
                <c:pt idx="2">
                  <c:v>51745</c:v>
                </c:pt>
                <c:pt idx="3">
                  <c:v>50328</c:v>
                </c:pt>
                <c:pt idx="4">
                  <c:v>48670</c:v>
                </c:pt>
              </c:numCache>
            </c:numRef>
          </c:val>
          <c:extLst>
            <c:ext xmlns:c16="http://schemas.microsoft.com/office/drawing/2014/chart" uri="{C3380CC4-5D6E-409C-BE32-E72D297353CC}">
              <c16:uniqueId val="{00000001-C14A-4E66-9FFC-AE75A080ABB3}"/>
            </c:ext>
          </c:extLst>
        </c:ser>
        <c:dLbls>
          <c:showLegendKey val="0"/>
          <c:showVal val="0"/>
          <c:showCatName val="0"/>
          <c:showSerName val="0"/>
          <c:showPercent val="0"/>
          <c:showBubbleSize val="0"/>
        </c:dLbls>
        <c:gapWidth val="150"/>
        <c:axId val="1145338144"/>
        <c:axId val="1145339856"/>
      </c:barChart>
      <c:lineChart>
        <c:grouping val="standard"/>
        <c:varyColors val="0"/>
        <c:ser>
          <c:idx val="3"/>
          <c:order val="2"/>
          <c:tx>
            <c:strRef>
              <c:f>Charts!$D$48</c:f>
              <c:strCache>
                <c:ptCount val="1"/>
                <c:pt idx="0">
                  <c:v>Inventory T/O Ratio</c:v>
                </c:pt>
              </c:strCache>
            </c:strRef>
          </c:tx>
          <c:spPr>
            <a:ln w="28575" cap="rnd">
              <a:solidFill>
                <a:schemeClr val="accent4"/>
              </a:solidFill>
              <a:round/>
            </a:ln>
            <a:effectLst/>
          </c:spPr>
          <c:marker>
            <c:symbol val="none"/>
          </c:marker>
          <c:val>
            <c:numRef>
              <c:f>Charts!$D$49:$D$53</c:f>
              <c:numCache>
                <c:formatCode>0.00</c:formatCode>
                <c:ptCount val="5"/>
                <c:pt idx="0">
                  <c:v>2.2099876568607284</c:v>
                </c:pt>
                <c:pt idx="1">
                  <c:v>2.0589593805189512</c:v>
                </c:pt>
                <c:pt idx="2">
                  <c:v>1.9164105033146921</c:v>
                </c:pt>
                <c:pt idx="3">
                  <c:v>1.8698866802898013</c:v>
                </c:pt>
                <c:pt idx="4">
                  <c:v>1.9347273016377802</c:v>
                </c:pt>
              </c:numCache>
            </c:numRef>
          </c:val>
          <c:smooth val="0"/>
          <c:extLst>
            <c:ext xmlns:c16="http://schemas.microsoft.com/office/drawing/2014/chart" uri="{C3380CC4-5D6E-409C-BE32-E72D297353CC}">
              <c16:uniqueId val="{00000002-C14A-4E66-9FFC-AE75A080ABB3}"/>
            </c:ext>
          </c:extLst>
        </c:ser>
        <c:dLbls>
          <c:showLegendKey val="0"/>
          <c:showVal val="0"/>
          <c:showCatName val="0"/>
          <c:showSerName val="0"/>
          <c:showPercent val="0"/>
          <c:showBubbleSize val="0"/>
        </c:dLbls>
        <c:marker val="1"/>
        <c:smooth val="0"/>
        <c:axId val="1993000576"/>
        <c:axId val="1993008736"/>
      </c:lineChart>
      <c:catAx>
        <c:axId val="11453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39856"/>
        <c:crosses val="autoZero"/>
        <c:auto val="1"/>
        <c:lblAlgn val="ctr"/>
        <c:lblOffset val="100"/>
        <c:noMultiLvlLbl val="0"/>
      </c:catAx>
      <c:valAx>
        <c:axId val="11453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38144"/>
        <c:crosses val="autoZero"/>
        <c:crossBetween val="between"/>
      </c:valAx>
      <c:valAx>
        <c:axId val="1993008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0576"/>
        <c:crosses val="max"/>
        <c:crossBetween val="between"/>
      </c:valAx>
      <c:catAx>
        <c:axId val="1993000576"/>
        <c:scaling>
          <c:orientation val="minMax"/>
        </c:scaling>
        <c:delete val="1"/>
        <c:axPos val="b"/>
        <c:majorTickMark val="out"/>
        <c:minorTickMark val="none"/>
        <c:tickLblPos val="nextTo"/>
        <c:crossAx val="1993008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RETURN ON EQUITY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Charts!$B$73</c:f>
              <c:strCache>
                <c:ptCount val="1"/>
                <c:pt idx="0">
                  <c:v>Reurn to Shareholders</c:v>
                </c:pt>
              </c:strCache>
            </c:strRef>
          </c:tx>
          <c:spPr>
            <a:solidFill>
              <a:schemeClr val="accent2"/>
            </a:solidFill>
            <a:ln>
              <a:noFill/>
            </a:ln>
            <a:effectLst/>
          </c:spPr>
          <c:invertIfNegative val="0"/>
          <c:cat>
            <c:numRef>
              <c:f>Charts!$A$74:$A$78</c:f>
              <c:numCache>
                <c:formatCode>General</c:formatCode>
                <c:ptCount val="5"/>
                <c:pt idx="0">
                  <c:v>2020</c:v>
                </c:pt>
                <c:pt idx="1">
                  <c:v>2021</c:v>
                </c:pt>
                <c:pt idx="2">
                  <c:v>2022</c:v>
                </c:pt>
                <c:pt idx="3">
                  <c:v>2023</c:v>
                </c:pt>
                <c:pt idx="4">
                  <c:v>2024</c:v>
                </c:pt>
              </c:numCache>
            </c:numRef>
          </c:cat>
          <c:val>
            <c:numRef>
              <c:f>Charts!$B$74:$B$78</c:f>
              <c:numCache>
                <c:formatCode>General</c:formatCode>
                <c:ptCount val="5"/>
                <c:pt idx="0">
                  <c:v>12232</c:v>
                </c:pt>
                <c:pt idx="1">
                  <c:v>16905</c:v>
                </c:pt>
                <c:pt idx="2">
                  <c:v>9270</c:v>
                </c:pt>
                <c:pt idx="3">
                  <c:v>11209</c:v>
                </c:pt>
                <c:pt idx="4">
                  <c:v>10884</c:v>
                </c:pt>
              </c:numCache>
            </c:numRef>
          </c:val>
          <c:extLst>
            <c:ext xmlns:c16="http://schemas.microsoft.com/office/drawing/2014/chart" uri="{C3380CC4-5D6E-409C-BE32-E72D297353CC}">
              <c16:uniqueId val="{00000000-1AF3-44F5-BC89-E3FEF705E981}"/>
            </c:ext>
          </c:extLst>
        </c:ser>
        <c:ser>
          <c:idx val="2"/>
          <c:order val="1"/>
          <c:tx>
            <c:strRef>
              <c:f>Charts!$C$73</c:f>
              <c:strCache>
                <c:ptCount val="1"/>
                <c:pt idx="0">
                  <c:v>share holders equity</c:v>
                </c:pt>
              </c:strCache>
            </c:strRef>
          </c:tx>
          <c:spPr>
            <a:solidFill>
              <a:schemeClr val="accent3"/>
            </a:solidFill>
            <a:ln>
              <a:noFill/>
            </a:ln>
            <a:effectLst/>
          </c:spPr>
          <c:invertIfNegative val="0"/>
          <c:cat>
            <c:numRef>
              <c:f>Charts!$A$74:$A$78</c:f>
              <c:numCache>
                <c:formatCode>General</c:formatCode>
                <c:ptCount val="5"/>
                <c:pt idx="0">
                  <c:v>2020</c:v>
                </c:pt>
                <c:pt idx="1">
                  <c:v>2021</c:v>
                </c:pt>
                <c:pt idx="2">
                  <c:v>2022</c:v>
                </c:pt>
                <c:pt idx="3">
                  <c:v>2023</c:v>
                </c:pt>
                <c:pt idx="4">
                  <c:v>2024</c:v>
                </c:pt>
              </c:numCache>
            </c:numRef>
          </c:cat>
          <c:val>
            <c:numRef>
              <c:f>Charts!$C$74:$C$78</c:f>
              <c:numCache>
                <c:formatCode>General</c:formatCode>
                <c:ptCount val="5"/>
                <c:pt idx="0">
                  <c:v>45695</c:v>
                </c:pt>
                <c:pt idx="1">
                  <c:v>53140</c:v>
                </c:pt>
                <c:pt idx="2">
                  <c:v>41982</c:v>
                </c:pt>
                <c:pt idx="3">
                  <c:v>35742</c:v>
                </c:pt>
                <c:pt idx="4">
                  <c:v>35917</c:v>
                </c:pt>
              </c:numCache>
            </c:numRef>
          </c:val>
          <c:extLst>
            <c:ext xmlns:c16="http://schemas.microsoft.com/office/drawing/2014/chart" uri="{C3380CC4-5D6E-409C-BE32-E72D297353CC}">
              <c16:uniqueId val="{00000001-1AF3-44F5-BC89-E3FEF705E981}"/>
            </c:ext>
          </c:extLst>
        </c:ser>
        <c:dLbls>
          <c:showLegendKey val="0"/>
          <c:showVal val="0"/>
          <c:showCatName val="0"/>
          <c:showSerName val="0"/>
          <c:showPercent val="0"/>
          <c:showBubbleSize val="0"/>
        </c:dLbls>
        <c:gapWidth val="150"/>
        <c:axId val="259462192"/>
        <c:axId val="259809520"/>
      </c:barChart>
      <c:lineChart>
        <c:grouping val="standard"/>
        <c:varyColors val="0"/>
        <c:ser>
          <c:idx val="3"/>
          <c:order val="2"/>
          <c:tx>
            <c:strRef>
              <c:f>Charts!$D$73</c:f>
              <c:strCache>
                <c:ptCount val="1"/>
                <c:pt idx="0">
                  <c:v>ROE</c:v>
                </c:pt>
              </c:strCache>
            </c:strRef>
          </c:tx>
          <c:spPr>
            <a:ln w="28575" cap="rnd">
              <a:solidFill>
                <a:schemeClr val="accent4"/>
              </a:solidFill>
              <a:round/>
            </a:ln>
            <a:effectLst/>
          </c:spPr>
          <c:marker>
            <c:symbol val="none"/>
          </c:marker>
          <c:val>
            <c:numRef>
              <c:f>Charts!$D$74:$D$78</c:f>
              <c:numCache>
                <c:formatCode>0.00%</c:formatCode>
                <c:ptCount val="5"/>
                <c:pt idx="0">
                  <c:v>0.26768793084582559</c:v>
                </c:pt>
                <c:pt idx="1">
                  <c:v>0.31812194203989463</c:v>
                </c:pt>
                <c:pt idx="2">
                  <c:v>0.22080891810776046</c:v>
                </c:pt>
                <c:pt idx="3">
                  <c:v>0.31360863969559621</c:v>
                </c:pt>
                <c:pt idx="4">
                  <c:v>0.30303199042236267</c:v>
                </c:pt>
              </c:numCache>
            </c:numRef>
          </c:val>
          <c:smooth val="0"/>
          <c:extLst>
            <c:ext xmlns:c16="http://schemas.microsoft.com/office/drawing/2014/chart" uri="{C3380CC4-5D6E-409C-BE32-E72D297353CC}">
              <c16:uniqueId val="{00000002-1AF3-44F5-BC89-E3FEF705E981}"/>
            </c:ext>
          </c:extLst>
        </c:ser>
        <c:dLbls>
          <c:showLegendKey val="0"/>
          <c:showVal val="0"/>
          <c:showCatName val="0"/>
          <c:showSerName val="0"/>
          <c:showPercent val="0"/>
          <c:showBubbleSize val="0"/>
        </c:dLbls>
        <c:marker val="1"/>
        <c:smooth val="0"/>
        <c:axId val="1992995776"/>
        <c:axId val="1993009216"/>
      </c:lineChart>
      <c:catAx>
        <c:axId val="2594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9520"/>
        <c:crosses val="autoZero"/>
        <c:auto val="1"/>
        <c:lblAlgn val="ctr"/>
        <c:lblOffset val="100"/>
        <c:noMultiLvlLbl val="0"/>
      </c:catAx>
      <c:valAx>
        <c:axId val="25980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462192"/>
        <c:crosses val="autoZero"/>
        <c:crossBetween val="between"/>
      </c:valAx>
      <c:valAx>
        <c:axId val="19930092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5776"/>
        <c:crosses val="max"/>
        <c:crossBetween val="between"/>
      </c:valAx>
      <c:catAx>
        <c:axId val="1992995776"/>
        <c:scaling>
          <c:orientation val="minMax"/>
        </c:scaling>
        <c:delete val="1"/>
        <c:axPos val="b"/>
        <c:majorTickMark val="out"/>
        <c:minorTickMark val="none"/>
        <c:tickLblPos val="nextTo"/>
        <c:crossAx val="19930092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RETURN ON CAPITAL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Charts!$B$81</c:f>
              <c:strCache>
                <c:ptCount val="1"/>
                <c:pt idx="0">
                  <c:v>operating profit </c:v>
                </c:pt>
              </c:strCache>
            </c:strRef>
          </c:tx>
          <c:spPr>
            <a:solidFill>
              <a:schemeClr val="accent2"/>
            </a:solidFill>
            <a:ln>
              <a:noFill/>
            </a:ln>
            <a:effectLst/>
          </c:spPr>
          <c:invertIfNegative val="0"/>
          <c:cat>
            <c:numRef>
              <c:f>Charts!$A$82:$A$86</c:f>
              <c:numCache>
                <c:formatCode>General</c:formatCode>
                <c:ptCount val="5"/>
                <c:pt idx="0">
                  <c:v>2020</c:v>
                </c:pt>
                <c:pt idx="1">
                  <c:v>2021</c:v>
                </c:pt>
                <c:pt idx="2">
                  <c:v>2022</c:v>
                </c:pt>
                <c:pt idx="3">
                  <c:v>2023</c:v>
                </c:pt>
                <c:pt idx="4">
                  <c:v>2024</c:v>
                </c:pt>
              </c:numCache>
            </c:numRef>
          </c:cat>
          <c:val>
            <c:numRef>
              <c:f>Charts!$B$82:$B$86</c:f>
              <c:numCache>
                <c:formatCode>General</c:formatCode>
                <c:ptCount val="5"/>
                <c:pt idx="0">
                  <c:v>14796</c:v>
                </c:pt>
                <c:pt idx="1">
                  <c:v>11679</c:v>
                </c:pt>
                <c:pt idx="2">
                  <c:v>12326</c:v>
                </c:pt>
                <c:pt idx="3">
                  <c:v>14063</c:v>
                </c:pt>
                <c:pt idx="4">
                  <c:v>14724</c:v>
                </c:pt>
              </c:numCache>
            </c:numRef>
          </c:val>
          <c:extLst>
            <c:ext xmlns:c16="http://schemas.microsoft.com/office/drawing/2014/chart" uri="{C3380CC4-5D6E-409C-BE32-E72D297353CC}">
              <c16:uniqueId val="{00000000-55FA-4785-938F-231BF8CA8361}"/>
            </c:ext>
          </c:extLst>
        </c:ser>
        <c:ser>
          <c:idx val="2"/>
          <c:order val="1"/>
          <c:tx>
            <c:strRef>
              <c:f>Charts!$C$81</c:f>
              <c:strCache>
                <c:ptCount val="1"/>
                <c:pt idx="0">
                  <c:v>cap employed</c:v>
                </c:pt>
              </c:strCache>
            </c:strRef>
          </c:tx>
          <c:spPr>
            <a:solidFill>
              <a:schemeClr val="accent3"/>
            </a:solidFill>
            <a:ln>
              <a:noFill/>
            </a:ln>
            <a:effectLst/>
          </c:spPr>
          <c:invertIfNegative val="0"/>
          <c:cat>
            <c:numRef>
              <c:f>Charts!$A$82:$A$86</c:f>
              <c:numCache>
                <c:formatCode>General</c:formatCode>
                <c:ptCount val="5"/>
                <c:pt idx="0">
                  <c:v>2020</c:v>
                </c:pt>
                <c:pt idx="1">
                  <c:v>2021</c:v>
                </c:pt>
                <c:pt idx="2">
                  <c:v>2022</c:v>
                </c:pt>
                <c:pt idx="3">
                  <c:v>2023</c:v>
                </c:pt>
                <c:pt idx="4">
                  <c:v>2024</c:v>
                </c:pt>
              </c:numCache>
            </c:numRef>
          </c:cat>
          <c:val>
            <c:numRef>
              <c:f>Charts!$C$82:$C$86</c:f>
              <c:numCache>
                <c:formatCode>General</c:formatCode>
                <c:ptCount val="5"/>
                <c:pt idx="0">
                  <c:v>84306</c:v>
                </c:pt>
                <c:pt idx="1">
                  <c:v>99122</c:v>
                </c:pt>
                <c:pt idx="2">
                  <c:v>95206</c:v>
                </c:pt>
                <c:pt idx="3">
                  <c:v>89466</c:v>
                </c:pt>
                <c:pt idx="4">
                  <c:v>96401</c:v>
                </c:pt>
              </c:numCache>
            </c:numRef>
          </c:val>
          <c:extLst>
            <c:ext xmlns:c16="http://schemas.microsoft.com/office/drawing/2014/chart" uri="{C3380CC4-5D6E-409C-BE32-E72D297353CC}">
              <c16:uniqueId val="{00000001-55FA-4785-938F-231BF8CA8361}"/>
            </c:ext>
          </c:extLst>
        </c:ser>
        <c:dLbls>
          <c:showLegendKey val="0"/>
          <c:showVal val="0"/>
          <c:showCatName val="0"/>
          <c:showSerName val="0"/>
          <c:showPercent val="0"/>
          <c:showBubbleSize val="0"/>
        </c:dLbls>
        <c:gapWidth val="150"/>
        <c:axId val="1146015328"/>
        <c:axId val="1146017040"/>
      </c:barChart>
      <c:lineChart>
        <c:grouping val="standard"/>
        <c:varyColors val="0"/>
        <c:ser>
          <c:idx val="3"/>
          <c:order val="2"/>
          <c:tx>
            <c:strRef>
              <c:f>Charts!$D$81</c:f>
              <c:strCache>
                <c:ptCount val="1"/>
                <c:pt idx="0">
                  <c:v>ROCE</c:v>
                </c:pt>
              </c:strCache>
            </c:strRef>
          </c:tx>
          <c:spPr>
            <a:ln w="28575" cap="rnd">
              <a:solidFill>
                <a:schemeClr val="accent4"/>
              </a:solidFill>
              <a:round/>
            </a:ln>
            <a:effectLst/>
          </c:spPr>
          <c:marker>
            <c:symbol val="none"/>
          </c:marker>
          <c:val>
            <c:numRef>
              <c:f>Charts!$D$82:$D$86</c:f>
              <c:numCache>
                <c:formatCode>0.00%</c:formatCode>
                <c:ptCount val="5"/>
                <c:pt idx="0">
                  <c:v>0.17550352288093374</c:v>
                </c:pt>
                <c:pt idx="1">
                  <c:v>0.11782449910211658</c:v>
                </c:pt>
                <c:pt idx="2">
                  <c:v>0.12946663025439573</c:v>
                </c:pt>
                <c:pt idx="3">
                  <c:v>0.15718820557530236</c:v>
                </c:pt>
                <c:pt idx="4">
                  <c:v>0.15273700480285474</c:v>
                </c:pt>
              </c:numCache>
            </c:numRef>
          </c:val>
          <c:smooth val="0"/>
          <c:extLst>
            <c:ext xmlns:c16="http://schemas.microsoft.com/office/drawing/2014/chart" uri="{C3380CC4-5D6E-409C-BE32-E72D297353CC}">
              <c16:uniqueId val="{00000002-55FA-4785-938F-231BF8CA8361}"/>
            </c:ext>
          </c:extLst>
        </c:ser>
        <c:dLbls>
          <c:showLegendKey val="0"/>
          <c:showVal val="0"/>
          <c:showCatName val="0"/>
          <c:showSerName val="0"/>
          <c:showPercent val="0"/>
          <c:showBubbleSize val="0"/>
        </c:dLbls>
        <c:marker val="1"/>
        <c:smooth val="0"/>
        <c:axId val="1992998176"/>
        <c:axId val="1993003456"/>
      </c:lineChart>
      <c:catAx>
        <c:axId val="1146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17040"/>
        <c:crosses val="autoZero"/>
        <c:auto val="1"/>
        <c:lblAlgn val="ctr"/>
        <c:lblOffset val="100"/>
        <c:noMultiLvlLbl val="0"/>
      </c:catAx>
      <c:valAx>
        <c:axId val="11460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15328"/>
        <c:crosses val="autoZero"/>
        <c:crossBetween val="between"/>
      </c:valAx>
      <c:valAx>
        <c:axId val="19930034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8176"/>
        <c:crosses val="max"/>
        <c:crossBetween val="between"/>
      </c:valAx>
      <c:catAx>
        <c:axId val="1992998176"/>
        <c:scaling>
          <c:orientation val="minMax"/>
        </c:scaling>
        <c:delete val="1"/>
        <c:axPos val="b"/>
        <c:majorTickMark val="out"/>
        <c:minorTickMark val="none"/>
        <c:tickLblPos val="nextTo"/>
        <c:crossAx val="1993003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RETURN</a:t>
            </a:r>
            <a:r>
              <a:rPr lang="en-GB" baseline="0"/>
              <a:t> ON ASSETS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1"/>
          <c:order val="0"/>
          <c:tx>
            <c:strRef>
              <c:f>Charts!$B$89</c:f>
              <c:strCache>
                <c:ptCount val="1"/>
                <c:pt idx="0">
                  <c:v>net profit</c:v>
                </c:pt>
              </c:strCache>
            </c:strRef>
          </c:tx>
          <c:spPr>
            <a:solidFill>
              <a:schemeClr val="accent2"/>
            </a:solidFill>
            <a:ln>
              <a:noFill/>
            </a:ln>
            <a:effectLst/>
          </c:spPr>
          <c:invertIfNegative val="0"/>
          <c:cat>
            <c:numRef>
              <c:f>Charts!$A$90:$A$94</c:f>
              <c:numCache>
                <c:formatCode>General</c:formatCode>
                <c:ptCount val="5"/>
                <c:pt idx="0">
                  <c:v>2020</c:v>
                </c:pt>
                <c:pt idx="1">
                  <c:v>2021</c:v>
                </c:pt>
                <c:pt idx="2">
                  <c:v>2022</c:v>
                </c:pt>
                <c:pt idx="3">
                  <c:v>2023</c:v>
                </c:pt>
                <c:pt idx="4">
                  <c:v>2024</c:v>
                </c:pt>
              </c:numCache>
            </c:numRef>
          </c:cat>
          <c:val>
            <c:numRef>
              <c:f>Charts!$B$90:$B$94</c:f>
              <c:numCache>
                <c:formatCode>General</c:formatCode>
                <c:ptCount val="5"/>
                <c:pt idx="0">
                  <c:v>12232</c:v>
                </c:pt>
                <c:pt idx="1">
                  <c:v>16905</c:v>
                </c:pt>
                <c:pt idx="2">
                  <c:v>9270</c:v>
                </c:pt>
                <c:pt idx="3">
                  <c:v>11209</c:v>
                </c:pt>
                <c:pt idx="4">
                  <c:v>10884</c:v>
                </c:pt>
              </c:numCache>
            </c:numRef>
          </c:val>
          <c:extLst>
            <c:ext xmlns:c16="http://schemas.microsoft.com/office/drawing/2014/chart" uri="{C3380CC4-5D6E-409C-BE32-E72D297353CC}">
              <c16:uniqueId val="{00000000-527C-4167-895C-53991315411A}"/>
            </c:ext>
          </c:extLst>
        </c:ser>
        <c:ser>
          <c:idx val="2"/>
          <c:order val="1"/>
          <c:tx>
            <c:strRef>
              <c:f>Charts!$C$89</c:f>
              <c:strCache>
                <c:ptCount val="1"/>
                <c:pt idx="0">
                  <c:v>total asset</c:v>
                </c:pt>
              </c:strCache>
            </c:strRef>
          </c:tx>
          <c:spPr>
            <a:solidFill>
              <a:schemeClr val="accent3"/>
            </a:solidFill>
            <a:ln>
              <a:noFill/>
            </a:ln>
            <a:effectLst/>
          </c:spPr>
          <c:invertIfNegative val="0"/>
          <c:cat>
            <c:numRef>
              <c:f>Charts!$A$90:$A$94</c:f>
              <c:numCache>
                <c:formatCode>General</c:formatCode>
                <c:ptCount val="5"/>
                <c:pt idx="0">
                  <c:v>2020</c:v>
                </c:pt>
                <c:pt idx="1">
                  <c:v>2021</c:v>
                </c:pt>
                <c:pt idx="2">
                  <c:v>2022</c:v>
                </c:pt>
                <c:pt idx="3">
                  <c:v>2023</c:v>
                </c:pt>
                <c:pt idx="4">
                  <c:v>2024</c:v>
                </c:pt>
              </c:numCache>
            </c:numRef>
          </c:cat>
          <c:val>
            <c:numRef>
              <c:f>Charts!$C$90:$C$94</c:f>
              <c:numCache>
                <c:formatCode>General</c:formatCode>
                <c:ptCount val="5"/>
                <c:pt idx="0">
                  <c:v>124028</c:v>
                </c:pt>
                <c:pt idx="1">
                  <c:v>139142</c:v>
                </c:pt>
                <c:pt idx="2">
                  <c:v>135182</c:v>
                </c:pt>
                <c:pt idx="3">
                  <c:v>126550</c:v>
                </c:pt>
                <c:pt idx="4">
                  <c:v>139264</c:v>
                </c:pt>
              </c:numCache>
            </c:numRef>
          </c:val>
          <c:extLst>
            <c:ext xmlns:c16="http://schemas.microsoft.com/office/drawing/2014/chart" uri="{C3380CC4-5D6E-409C-BE32-E72D297353CC}">
              <c16:uniqueId val="{00000001-527C-4167-895C-53991315411A}"/>
            </c:ext>
          </c:extLst>
        </c:ser>
        <c:dLbls>
          <c:showLegendKey val="0"/>
          <c:showVal val="0"/>
          <c:showCatName val="0"/>
          <c:showSerName val="0"/>
          <c:showPercent val="0"/>
          <c:showBubbleSize val="0"/>
        </c:dLbls>
        <c:gapWidth val="150"/>
        <c:axId val="1440145600"/>
        <c:axId val="1440147312"/>
      </c:barChart>
      <c:lineChart>
        <c:grouping val="standard"/>
        <c:varyColors val="0"/>
        <c:ser>
          <c:idx val="3"/>
          <c:order val="2"/>
          <c:tx>
            <c:strRef>
              <c:f>Charts!$D$89</c:f>
              <c:strCache>
                <c:ptCount val="1"/>
                <c:pt idx="0">
                  <c:v>ROA</c:v>
                </c:pt>
              </c:strCache>
            </c:strRef>
          </c:tx>
          <c:spPr>
            <a:ln w="28575" cap="rnd">
              <a:solidFill>
                <a:schemeClr val="accent4"/>
              </a:solidFill>
              <a:round/>
            </a:ln>
            <a:effectLst/>
          </c:spPr>
          <c:marker>
            <c:symbol val="none"/>
          </c:marker>
          <c:val>
            <c:numRef>
              <c:f>Charts!$D$90:$D$94</c:f>
              <c:numCache>
                <c:formatCode>0.00%</c:formatCode>
                <c:ptCount val="5"/>
                <c:pt idx="0">
                  <c:v>9.8622891605121429E-2</c:v>
                </c:pt>
                <c:pt idx="1">
                  <c:v>0.1214945882623507</c:v>
                </c:pt>
                <c:pt idx="2">
                  <c:v>6.8574218461037714E-2</c:v>
                </c:pt>
                <c:pt idx="3">
                  <c:v>8.857368629000395E-2</c:v>
                </c:pt>
                <c:pt idx="4">
                  <c:v>7.815372242647059E-2</c:v>
                </c:pt>
              </c:numCache>
            </c:numRef>
          </c:val>
          <c:smooth val="0"/>
          <c:extLst>
            <c:ext xmlns:c16="http://schemas.microsoft.com/office/drawing/2014/chart" uri="{C3380CC4-5D6E-409C-BE32-E72D297353CC}">
              <c16:uniqueId val="{00000002-527C-4167-895C-53991315411A}"/>
            </c:ext>
          </c:extLst>
        </c:ser>
        <c:dLbls>
          <c:showLegendKey val="0"/>
          <c:showVal val="0"/>
          <c:showCatName val="0"/>
          <c:showSerName val="0"/>
          <c:showPercent val="0"/>
          <c:showBubbleSize val="0"/>
        </c:dLbls>
        <c:marker val="1"/>
        <c:smooth val="0"/>
        <c:axId val="1993005376"/>
        <c:axId val="1993004416"/>
      </c:lineChart>
      <c:catAx>
        <c:axId val="144014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47312"/>
        <c:crosses val="autoZero"/>
        <c:auto val="1"/>
        <c:lblAlgn val="ctr"/>
        <c:lblOffset val="100"/>
        <c:noMultiLvlLbl val="0"/>
      </c:catAx>
      <c:valAx>
        <c:axId val="144014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45600"/>
        <c:crosses val="autoZero"/>
        <c:crossBetween val="between"/>
      </c:valAx>
      <c:valAx>
        <c:axId val="1993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5376"/>
        <c:crosses val="max"/>
        <c:crossBetween val="between"/>
      </c:valAx>
      <c:catAx>
        <c:axId val="1993005376"/>
        <c:scaling>
          <c:orientation val="minMax"/>
        </c:scaling>
        <c:delete val="1"/>
        <c:axPos val="b"/>
        <c:majorTickMark val="out"/>
        <c:minorTickMark val="none"/>
        <c:tickLblPos val="nextTo"/>
        <c:crossAx val="1993004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EPS</a:t>
            </a:r>
            <a:r>
              <a:rPr lang="en-GB" baseline="0"/>
              <a:t> VS DPS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Charts!$B$98</c:f>
              <c:strCache>
                <c:ptCount val="1"/>
                <c:pt idx="0">
                  <c:v>net profit SH</c:v>
                </c:pt>
              </c:strCache>
            </c:strRef>
          </c:tx>
          <c:spPr>
            <a:solidFill>
              <a:schemeClr val="tx2">
                <a:lumMod val="20000"/>
                <a:lumOff val="80000"/>
              </a:schemeClr>
            </a:solidFill>
            <a:ln>
              <a:solidFill>
                <a:schemeClr val="accent6"/>
              </a:solidFill>
            </a:ln>
            <a:effectLst/>
          </c:spPr>
          <c:invertIfNegative val="0"/>
          <c:cat>
            <c:numRef>
              <c:f>Charts!$A$99:$A$103</c:f>
              <c:numCache>
                <c:formatCode>General</c:formatCode>
                <c:ptCount val="5"/>
                <c:pt idx="0">
                  <c:v>2020</c:v>
                </c:pt>
                <c:pt idx="1">
                  <c:v>2021</c:v>
                </c:pt>
                <c:pt idx="2">
                  <c:v>2022</c:v>
                </c:pt>
                <c:pt idx="3">
                  <c:v>2023</c:v>
                </c:pt>
                <c:pt idx="4">
                  <c:v>2024</c:v>
                </c:pt>
              </c:numCache>
            </c:numRef>
          </c:cat>
          <c:val>
            <c:numRef>
              <c:f>Charts!$B$99:$B$103</c:f>
              <c:numCache>
                <c:formatCode>General</c:formatCode>
                <c:ptCount val="5"/>
                <c:pt idx="0">
                  <c:v>12232</c:v>
                </c:pt>
                <c:pt idx="1">
                  <c:v>16905</c:v>
                </c:pt>
                <c:pt idx="2">
                  <c:v>9270</c:v>
                </c:pt>
                <c:pt idx="3">
                  <c:v>11209</c:v>
                </c:pt>
                <c:pt idx="4">
                  <c:v>10884</c:v>
                </c:pt>
              </c:numCache>
            </c:numRef>
          </c:val>
          <c:extLst>
            <c:ext xmlns:c16="http://schemas.microsoft.com/office/drawing/2014/chart" uri="{C3380CC4-5D6E-409C-BE32-E72D297353CC}">
              <c16:uniqueId val="{00000001-4DB2-6549-BDC0-5D904F178BB2}"/>
            </c:ext>
          </c:extLst>
        </c:ser>
        <c:dLbls>
          <c:showLegendKey val="0"/>
          <c:showVal val="0"/>
          <c:showCatName val="0"/>
          <c:showSerName val="0"/>
          <c:showPercent val="0"/>
          <c:showBubbleSize val="0"/>
        </c:dLbls>
        <c:gapWidth val="219"/>
        <c:axId val="238746752"/>
        <c:axId val="238916640"/>
      </c:barChart>
      <c:lineChart>
        <c:grouping val="standard"/>
        <c:varyColors val="0"/>
        <c:ser>
          <c:idx val="2"/>
          <c:order val="1"/>
          <c:tx>
            <c:strRef>
              <c:f>Charts!$D$98</c:f>
              <c:strCache>
                <c:ptCount val="1"/>
                <c:pt idx="0">
                  <c:v>EPS</c:v>
                </c:pt>
              </c:strCache>
            </c:strRef>
          </c:tx>
          <c:spPr>
            <a:ln w="28575" cap="rnd">
              <a:solidFill>
                <a:srgbClr val="FF0000"/>
              </a:solidFill>
              <a:round/>
            </a:ln>
            <a:effectLst/>
          </c:spPr>
          <c:marker>
            <c:symbol val="none"/>
          </c:marker>
          <c:val>
            <c:numRef>
              <c:f>Charts!$D$99:$D$103</c:f>
              <c:numCache>
                <c:formatCode>0.00</c:formatCode>
                <c:ptCount val="5"/>
                <c:pt idx="0">
                  <c:v>4.2994727592267132</c:v>
                </c:pt>
                <c:pt idx="1">
                  <c:v>6.0569688283769256</c:v>
                </c:pt>
                <c:pt idx="2">
                  <c:v>3.4219269102990033</c:v>
                </c:pt>
                <c:pt idx="3">
                  <c:v>4.2330060422960729</c:v>
                </c:pt>
                <c:pt idx="4">
                  <c:v>4.1877645248172373</c:v>
                </c:pt>
              </c:numCache>
            </c:numRef>
          </c:val>
          <c:smooth val="0"/>
          <c:extLst>
            <c:ext xmlns:c16="http://schemas.microsoft.com/office/drawing/2014/chart" uri="{C3380CC4-5D6E-409C-BE32-E72D297353CC}">
              <c16:uniqueId val="{00000002-4DB2-6549-BDC0-5D904F178BB2}"/>
            </c:ext>
          </c:extLst>
        </c:ser>
        <c:ser>
          <c:idx val="3"/>
          <c:order val="2"/>
          <c:tx>
            <c:strRef>
              <c:f>Charts!$E$98</c:f>
              <c:strCache>
                <c:ptCount val="1"/>
                <c:pt idx="0">
                  <c:v>DPS</c:v>
                </c:pt>
              </c:strCache>
            </c:strRef>
          </c:tx>
          <c:spPr>
            <a:ln w="28575" cap="rnd">
              <a:solidFill>
                <a:schemeClr val="tx1"/>
              </a:solidFill>
              <a:round/>
            </a:ln>
            <a:effectLst/>
          </c:spPr>
          <c:marker>
            <c:symbol val="none"/>
          </c:marker>
          <c:val>
            <c:numRef>
              <c:f>Charts!$E$99:$E$103</c:f>
              <c:numCache>
                <c:formatCode>General</c:formatCode>
                <c:ptCount val="5"/>
                <c:pt idx="0">
                  <c:v>2.75</c:v>
                </c:pt>
                <c:pt idx="1">
                  <c:v>2.8</c:v>
                </c:pt>
                <c:pt idx="2">
                  <c:v>2.95</c:v>
                </c:pt>
                <c:pt idx="3" formatCode="0.00">
                  <c:v>3</c:v>
                </c:pt>
                <c:pt idx="4">
                  <c:v>3.05</c:v>
                </c:pt>
              </c:numCache>
            </c:numRef>
          </c:val>
          <c:smooth val="0"/>
          <c:extLst>
            <c:ext xmlns:c16="http://schemas.microsoft.com/office/drawing/2014/chart" uri="{C3380CC4-5D6E-409C-BE32-E72D297353CC}">
              <c16:uniqueId val="{00000003-4DB2-6549-BDC0-5D904F178BB2}"/>
            </c:ext>
          </c:extLst>
        </c:ser>
        <c:dLbls>
          <c:showLegendKey val="0"/>
          <c:showVal val="0"/>
          <c:showCatName val="0"/>
          <c:showSerName val="0"/>
          <c:showPercent val="0"/>
          <c:showBubbleSize val="0"/>
        </c:dLbls>
        <c:marker val="1"/>
        <c:smooth val="0"/>
        <c:axId val="1675276112"/>
        <c:axId val="1675344288"/>
      </c:lineChart>
      <c:catAx>
        <c:axId val="23874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16640"/>
        <c:crosses val="autoZero"/>
        <c:auto val="1"/>
        <c:lblAlgn val="ctr"/>
        <c:lblOffset val="100"/>
        <c:noMultiLvlLbl val="0"/>
      </c:catAx>
      <c:valAx>
        <c:axId val="2389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746752"/>
        <c:crosses val="autoZero"/>
        <c:crossBetween val="between"/>
      </c:valAx>
      <c:valAx>
        <c:axId val="1675344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76112"/>
        <c:crosses val="max"/>
        <c:crossBetween val="between"/>
      </c:valAx>
      <c:catAx>
        <c:axId val="1675276112"/>
        <c:scaling>
          <c:orientation val="minMax"/>
        </c:scaling>
        <c:delete val="1"/>
        <c:axPos val="b"/>
        <c:majorTickMark val="out"/>
        <c:minorTickMark val="none"/>
        <c:tickLblPos val="nextTo"/>
        <c:crossAx val="1675344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Leverages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Charts!$B$131</c:f>
              <c:strCache>
                <c:ptCount val="1"/>
                <c:pt idx="0">
                  <c:v>Sales</c:v>
                </c:pt>
              </c:strCache>
            </c:strRef>
          </c:tx>
          <c:spPr>
            <a:solidFill>
              <a:schemeClr val="accent6">
                <a:lumMod val="20000"/>
                <a:lumOff val="80000"/>
              </a:schemeClr>
            </a:solidFill>
            <a:ln>
              <a:noFill/>
            </a:ln>
            <a:effectLst/>
          </c:spPr>
          <c:invertIfNegative val="0"/>
          <c:cat>
            <c:numRef>
              <c:f>Charts!$A$132:$A$136</c:f>
              <c:numCache>
                <c:formatCode>General</c:formatCode>
                <c:ptCount val="5"/>
                <c:pt idx="0">
                  <c:v>2020</c:v>
                </c:pt>
                <c:pt idx="1">
                  <c:v>2021</c:v>
                </c:pt>
                <c:pt idx="2">
                  <c:v>2022</c:v>
                </c:pt>
                <c:pt idx="3">
                  <c:v>2023</c:v>
                </c:pt>
                <c:pt idx="4">
                  <c:v>2024</c:v>
                </c:pt>
              </c:numCache>
            </c:numRef>
          </c:cat>
          <c:val>
            <c:numRef>
              <c:f>Charts!$B$132:$B$136</c:f>
              <c:numCache>
                <c:formatCode>General</c:formatCode>
                <c:ptCount val="5"/>
                <c:pt idx="0">
                  <c:v>84343</c:v>
                </c:pt>
                <c:pt idx="1">
                  <c:v>87088</c:v>
                </c:pt>
                <c:pt idx="2">
                  <c:v>94424</c:v>
                </c:pt>
                <c:pt idx="3">
                  <c:v>92998</c:v>
                </c:pt>
                <c:pt idx="4">
                  <c:v>91354</c:v>
                </c:pt>
              </c:numCache>
            </c:numRef>
          </c:val>
          <c:extLst>
            <c:ext xmlns:c16="http://schemas.microsoft.com/office/drawing/2014/chart" uri="{C3380CC4-5D6E-409C-BE32-E72D297353CC}">
              <c16:uniqueId val="{00000001-A221-44E1-9B00-AC89ADC99FED}"/>
            </c:ext>
          </c:extLst>
        </c:ser>
        <c:dLbls>
          <c:showLegendKey val="0"/>
          <c:showVal val="0"/>
          <c:showCatName val="0"/>
          <c:showSerName val="0"/>
          <c:showPercent val="0"/>
          <c:showBubbleSize val="0"/>
        </c:dLbls>
        <c:gapWidth val="150"/>
        <c:axId val="167745968"/>
        <c:axId val="167746448"/>
        <c:extLst>
          <c:ext xmlns:c15="http://schemas.microsoft.com/office/drawing/2012/chart" uri="{02D57815-91ED-43cb-92C2-25804820EDAC}">
            <c15:filteredBarSeries>
              <c15:ser>
                <c:idx val="0"/>
                <c:order val="0"/>
                <c:tx>
                  <c:strRef>
                    <c:extLst>
                      <c:ext uri="{02D57815-91ED-43cb-92C2-25804820EDAC}">
                        <c15:formulaRef>
                          <c15:sqref>Charts!$A$131</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Charts!$A$132:$A$136</c15:sqref>
                        </c15:formulaRef>
                      </c:ext>
                    </c:extLst>
                    <c:numCache>
                      <c:formatCode>General</c:formatCode>
                      <c:ptCount val="5"/>
                      <c:pt idx="0">
                        <c:v>2020</c:v>
                      </c:pt>
                      <c:pt idx="1">
                        <c:v>2021</c:v>
                      </c:pt>
                      <c:pt idx="2">
                        <c:v>2022</c:v>
                      </c:pt>
                      <c:pt idx="3">
                        <c:v>2023</c:v>
                      </c:pt>
                      <c:pt idx="4">
                        <c:v>2024</c:v>
                      </c:pt>
                    </c:numCache>
                  </c:numRef>
                </c:cat>
                <c:val>
                  <c:numRef>
                    <c:extLst>
                      <c:ext uri="{02D57815-91ED-43cb-92C2-25804820EDAC}">
                        <c15:formulaRef>
                          <c15:sqref>Charts!$A$132:$A$136</c15:sqref>
                        </c15:formulaRef>
                      </c:ext>
                    </c:extLst>
                    <c:numCache>
                      <c:formatCode>General</c:formatCode>
                      <c:ptCount val="5"/>
                      <c:pt idx="0">
                        <c:v>2020</c:v>
                      </c:pt>
                      <c:pt idx="1">
                        <c:v>2021</c:v>
                      </c:pt>
                      <c:pt idx="2">
                        <c:v>2022</c:v>
                      </c:pt>
                      <c:pt idx="3">
                        <c:v>2023</c:v>
                      </c:pt>
                      <c:pt idx="4">
                        <c:v>2024</c:v>
                      </c:pt>
                    </c:numCache>
                  </c:numRef>
                </c:val>
                <c:extLst>
                  <c:ext xmlns:c16="http://schemas.microsoft.com/office/drawing/2014/chart" uri="{C3380CC4-5D6E-409C-BE32-E72D297353CC}">
                    <c16:uniqueId val="{00000000-A221-44E1-9B00-AC89ADC99FED}"/>
                  </c:ext>
                </c:extLst>
              </c15:ser>
            </c15:filteredBarSeries>
          </c:ext>
        </c:extLst>
      </c:barChart>
      <c:lineChart>
        <c:grouping val="standard"/>
        <c:varyColors val="0"/>
        <c:ser>
          <c:idx val="2"/>
          <c:order val="2"/>
          <c:tx>
            <c:strRef>
              <c:f>Charts!$F$131</c:f>
              <c:strCache>
                <c:ptCount val="1"/>
                <c:pt idx="0">
                  <c:v>OL</c:v>
                </c:pt>
              </c:strCache>
            </c:strRef>
          </c:tx>
          <c:spPr>
            <a:ln w="28575" cap="rnd">
              <a:solidFill>
                <a:schemeClr val="accent2">
                  <a:lumMod val="50000"/>
                </a:schemeClr>
              </a:solidFill>
              <a:round/>
            </a:ln>
            <a:effectLst/>
          </c:spPr>
          <c:marker>
            <c:symbol val="none"/>
          </c:marker>
          <c:cat>
            <c:numRef>
              <c:f>Charts!$A$132:$A$136</c:f>
              <c:numCache>
                <c:formatCode>General</c:formatCode>
                <c:ptCount val="5"/>
                <c:pt idx="0">
                  <c:v>2020</c:v>
                </c:pt>
                <c:pt idx="1">
                  <c:v>2021</c:v>
                </c:pt>
                <c:pt idx="2">
                  <c:v>2022</c:v>
                </c:pt>
                <c:pt idx="3">
                  <c:v>2023</c:v>
                </c:pt>
                <c:pt idx="4">
                  <c:v>2024</c:v>
                </c:pt>
              </c:numCache>
            </c:numRef>
          </c:cat>
          <c:val>
            <c:numRef>
              <c:f>Charts!$F$132:$F$136</c:f>
              <c:numCache>
                <c:formatCode>0.00</c:formatCode>
                <c:ptCount val="5"/>
                <c:pt idx="0">
                  <c:v>0.89738948159636667</c:v>
                </c:pt>
                <c:pt idx="1">
                  <c:v>-6.4729041374348704</c:v>
                </c:pt>
                <c:pt idx="2">
                  <c:v>0.65765422806343776</c:v>
                </c:pt>
                <c:pt idx="3">
                  <c:v>-9.3312650097776206</c:v>
                </c:pt>
                <c:pt idx="4">
                  <c:v>-2.6588588231650658</c:v>
                </c:pt>
              </c:numCache>
            </c:numRef>
          </c:val>
          <c:smooth val="0"/>
          <c:extLst>
            <c:ext xmlns:c16="http://schemas.microsoft.com/office/drawing/2014/chart" uri="{C3380CC4-5D6E-409C-BE32-E72D297353CC}">
              <c16:uniqueId val="{00000002-A221-44E1-9B00-AC89ADC99FED}"/>
            </c:ext>
          </c:extLst>
        </c:ser>
        <c:ser>
          <c:idx val="3"/>
          <c:order val="3"/>
          <c:tx>
            <c:strRef>
              <c:f>Charts!$G$131</c:f>
              <c:strCache>
                <c:ptCount val="1"/>
                <c:pt idx="0">
                  <c:v>FL</c:v>
                </c:pt>
              </c:strCache>
            </c:strRef>
          </c:tx>
          <c:spPr>
            <a:ln w="28575" cap="rnd">
              <a:solidFill>
                <a:schemeClr val="accent4"/>
              </a:solidFill>
              <a:round/>
            </a:ln>
            <a:effectLst/>
          </c:spPr>
          <c:marker>
            <c:symbol val="none"/>
          </c:marker>
          <c:val>
            <c:numRef>
              <c:f>Charts!$G$132:$G$136</c:f>
              <c:numCache>
                <c:formatCode>0.00</c:formatCode>
                <c:ptCount val="5"/>
                <c:pt idx="0">
                  <c:v>0.25452763363600595</c:v>
                </c:pt>
                <c:pt idx="1">
                  <c:v>-1.1220921275565277</c:v>
                </c:pt>
                <c:pt idx="2">
                  <c:v>-6.6157020128958735</c:v>
                </c:pt>
                <c:pt idx="3">
                  <c:v>0.86183074265975812</c:v>
                </c:pt>
                <c:pt idx="4">
                  <c:v>1.0235188715599632</c:v>
                </c:pt>
              </c:numCache>
            </c:numRef>
          </c:val>
          <c:smooth val="0"/>
          <c:extLst>
            <c:ext xmlns:c16="http://schemas.microsoft.com/office/drawing/2014/chart" uri="{C3380CC4-5D6E-409C-BE32-E72D297353CC}">
              <c16:uniqueId val="{00000003-A221-44E1-9B00-AC89ADC99FED}"/>
            </c:ext>
          </c:extLst>
        </c:ser>
        <c:ser>
          <c:idx val="4"/>
          <c:order val="4"/>
          <c:tx>
            <c:strRef>
              <c:f>Charts!$H$131</c:f>
              <c:strCache>
                <c:ptCount val="1"/>
                <c:pt idx="0">
                  <c:v>CL</c:v>
                </c:pt>
              </c:strCache>
            </c:strRef>
          </c:tx>
          <c:spPr>
            <a:ln w="28575" cap="rnd">
              <a:solidFill>
                <a:schemeClr val="accent5"/>
              </a:solidFill>
              <a:round/>
            </a:ln>
            <a:effectLst/>
          </c:spPr>
          <c:marker>
            <c:symbol val="none"/>
          </c:marker>
          <c:val>
            <c:numRef>
              <c:f>Charts!$H$132:$H$136</c:f>
              <c:numCache>
                <c:formatCode>0.00</c:formatCode>
                <c:ptCount val="5"/>
                <c:pt idx="0">
                  <c:v>0.22841042120056532</c:v>
                </c:pt>
                <c:pt idx="1">
                  <c:v>7.2631947750437433</c:v>
                </c:pt>
                <c:pt idx="2">
                  <c:v>-4.350844400388767</c:v>
                </c:pt>
                <c:pt idx="3">
                  <c:v>-8.0419710533316611</c:v>
                </c:pt>
                <c:pt idx="4">
                  <c:v>-2.7213921823231599</c:v>
                </c:pt>
              </c:numCache>
            </c:numRef>
          </c:val>
          <c:smooth val="0"/>
          <c:extLst>
            <c:ext xmlns:c16="http://schemas.microsoft.com/office/drawing/2014/chart" uri="{C3380CC4-5D6E-409C-BE32-E72D297353CC}">
              <c16:uniqueId val="{00000004-A221-44E1-9B00-AC89ADC99FED}"/>
            </c:ext>
          </c:extLst>
        </c:ser>
        <c:dLbls>
          <c:showLegendKey val="0"/>
          <c:showVal val="0"/>
          <c:showCatName val="0"/>
          <c:showSerName val="0"/>
          <c:showPercent val="0"/>
          <c:showBubbleSize val="0"/>
        </c:dLbls>
        <c:marker val="1"/>
        <c:smooth val="0"/>
        <c:axId val="167844848"/>
        <c:axId val="167860208"/>
      </c:lineChart>
      <c:catAx>
        <c:axId val="16774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6448"/>
        <c:crosses val="autoZero"/>
        <c:auto val="1"/>
        <c:lblAlgn val="ctr"/>
        <c:lblOffset val="100"/>
        <c:noMultiLvlLbl val="0"/>
      </c:catAx>
      <c:valAx>
        <c:axId val="16774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968"/>
        <c:crosses val="autoZero"/>
        <c:crossBetween val="between"/>
      </c:valAx>
      <c:valAx>
        <c:axId val="1678602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Leverage Ratios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4848"/>
        <c:crosses val="max"/>
        <c:crossBetween val="between"/>
      </c:valAx>
      <c:catAx>
        <c:axId val="167844848"/>
        <c:scaling>
          <c:orientation val="minMax"/>
        </c:scaling>
        <c:delete val="1"/>
        <c:axPos val="b"/>
        <c:numFmt formatCode="General" sourceLinked="1"/>
        <c:majorTickMark val="out"/>
        <c:minorTickMark val="none"/>
        <c:tickLblPos val="nextTo"/>
        <c:crossAx val="1678602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Liquidity Ratios</a:t>
            </a:r>
          </a:p>
        </c:rich>
      </c:tx>
      <c:layout>
        <c:manualLayout>
          <c:xMode val="edge"/>
          <c:yMode val="edge"/>
          <c:x val="0.41520925136651499"/>
          <c:y val="2.1428571428571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Charts!$B$3</c:f>
              <c:strCache>
                <c:ptCount val="1"/>
                <c:pt idx="0">
                  <c:v>Current Assets</c:v>
                </c:pt>
              </c:strCache>
            </c:strRef>
          </c:tx>
          <c:spPr>
            <a:solidFill>
              <a:schemeClr val="accent2">
                <a:lumMod val="20000"/>
                <a:lumOff val="80000"/>
              </a:schemeClr>
            </a:solidFill>
            <a:ln>
              <a:noFill/>
            </a:ln>
            <a:effectLst/>
          </c:spPr>
          <c:invertIfNegative val="0"/>
          <c:cat>
            <c:strRef>
              <c:f>Charts!$A$3:$A$8</c:f>
              <c:strCache>
                <c:ptCount val="6"/>
                <c:pt idx="0">
                  <c:v>Year</c:v>
                </c:pt>
                <c:pt idx="1">
                  <c:v>2020</c:v>
                </c:pt>
                <c:pt idx="2">
                  <c:v>2021</c:v>
                </c:pt>
                <c:pt idx="3">
                  <c:v>2022</c:v>
                </c:pt>
                <c:pt idx="4">
                  <c:v>2023</c:v>
                </c:pt>
                <c:pt idx="5">
                  <c:v>2024</c:v>
                </c:pt>
              </c:strCache>
            </c:strRef>
          </c:cat>
          <c:val>
            <c:numRef>
              <c:f>Charts!$B$4:$B$8</c:f>
              <c:numCache>
                <c:formatCode>General</c:formatCode>
                <c:ptCount val="5"/>
                <c:pt idx="0">
                  <c:v>34068</c:v>
                </c:pt>
                <c:pt idx="1">
                  <c:v>39257</c:v>
                </c:pt>
                <c:pt idx="2">
                  <c:v>35062</c:v>
                </c:pt>
                <c:pt idx="3">
                  <c:v>30857</c:v>
                </c:pt>
                <c:pt idx="4">
                  <c:v>35188</c:v>
                </c:pt>
              </c:numCache>
            </c:numRef>
          </c:val>
          <c:extLst>
            <c:ext xmlns:c16="http://schemas.microsoft.com/office/drawing/2014/chart" uri="{C3380CC4-5D6E-409C-BE32-E72D297353CC}">
              <c16:uniqueId val="{00000001-76F1-43A0-BAD2-29C285B86888}"/>
            </c:ext>
          </c:extLst>
        </c:ser>
        <c:ser>
          <c:idx val="2"/>
          <c:order val="2"/>
          <c:tx>
            <c:strRef>
              <c:f>Charts!$E$3</c:f>
              <c:strCache>
                <c:ptCount val="1"/>
                <c:pt idx="0">
                  <c:v>Current Liabilities</c:v>
                </c:pt>
              </c:strCache>
            </c:strRef>
          </c:tx>
          <c:spPr>
            <a:solidFill>
              <a:schemeClr val="accent4">
                <a:lumMod val="20000"/>
                <a:lumOff val="80000"/>
              </a:schemeClr>
            </a:solidFill>
            <a:ln>
              <a:noFill/>
            </a:ln>
            <a:effectLst/>
          </c:spPr>
          <c:invertIfNegative val="0"/>
          <c:cat>
            <c:strRef>
              <c:f>Charts!$A$3:$A$8</c:f>
              <c:strCache>
                <c:ptCount val="6"/>
                <c:pt idx="0">
                  <c:v>Year</c:v>
                </c:pt>
                <c:pt idx="1">
                  <c:v>2020</c:v>
                </c:pt>
                <c:pt idx="2">
                  <c:v>2021</c:v>
                </c:pt>
                <c:pt idx="3">
                  <c:v>2022</c:v>
                </c:pt>
                <c:pt idx="4">
                  <c:v>2023</c:v>
                </c:pt>
                <c:pt idx="5">
                  <c:v>2024</c:v>
                </c:pt>
              </c:strCache>
            </c:strRef>
          </c:cat>
          <c:val>
            <c:numRef>
              <c:f>Charts!$E$4:$E$8</c:f>
              <c:numCache>
                <c:formatCode>General</c:formatCode>
                <c:ptCount val="5"/>
                <c:pt idx="0">
                  <c:v>39722</c:v>
                </c:pt>
                <c:pt idx="1">
                  <c:v>40020</c:v>
                </c:pt>
                <c:pt idx="2">
                  <c:v>39976</c:v>
                </c:pt>
                <c:pt idx="3">
                  <c:v>37084</c:v>
                </c:pt>
                <c:pt idx="4">
                  <c:v>42863</c:v>
                </c:pt>
              </c:numCache>
            </c:numRef>
          </c:val>
          <c:extLst>
            <c:ext xmlns:c16="http://schemas.microsoft.com/office/drawing/2014/chart" uri="{C3380CC4-5D6E-409C-BE32-E72D297353CC}">
              <c16:uniqueId val="{00000002-76F1-43A0-BAD2-29C285B86888}"/>
            </c:ext>
          </c:extLst>
        </c:ser>
        <c:dLbls>
          <c:showLegendKey val="0"/>
          <c:showVal val="0"/>
          <c:showCatName val="0"/>
          <c:showSerName val="0"/>
          <c:showPercent val="0"/>
          <c:showBubbleSize val="0"/>
        </c:dLbls>
        <c:gapWidth val="150"/>
        <c:axId val="2005493472"/>
        <c:axId val="2005493952"/>
        <c:extLst>
          <c:ext xmlns:c15="http://schemas.microsoft.com/office/drawing/2012/chart" uri="{02D57815-91ED-43cb-92C2-25804820EDAC}">
            <c15:filteredBarSeries>
              <c15:ser>
                <c:idx val="0"/>
                <c:order val="0"/>
                <c:tx>
                  <c:strRef>
                    <c:extLst>
                      <c:ext uri="{02D57815-91ED-43cb-92C2-25804820EDAC}">
                        <c15:formulaRef>
                          <c15:sqref>Charts!$A$3</c15:sqref>
                        </c15:formulaRef>
                      </c:ext>
                    </c:extLst>
                    <c:strCache>
                      <c:ptCount val="1"/>
                      <c:pt idx="0">
                        <c:v>Year</c:v>
                      </c:pt>
                    </c:strCache>
                  </c:strRef>
                </c:tx>
                <c:spPr>
                  <a:solidFill>
                    <a:schemeClr val="accent1"/>
                  </a:solidFill>
                  <a:ln>
                    <a:noFill/>
                  </a:ln>
                  <a:effectLst/>
                </c:spPr>
                <c:invertIfNegative val="0"/>
                <c:cat>
                  <c:strRef>
                    <c:extLst>
                      <c:ext uri="{02D57815-91ED-43cb-92C2-25804820EDAC}">
                        <c15:formulaRef>
                          <c15:sqref>Charts!$A$3:$A$8</c15:sqref>
                        </c15:formulaRef>
                      </c:ext>
                    </c:extLst>
                    <c:strCache>
                      <c:ptCount val="6"/>
                      <c:pt idx="0">
                        <c:v>Year</c:v>
                      </c:pt>
                      <c:pt idx="1">
                        <c:v>2020</c:v>
                      </c:pt>
                      <c:pt idx="2">
                        <c:v>2021</c:v>
                      </c:pt>
                      <c:pt idx="3">
                        <c:v>2022</c:v>
                      </c:pt>
                      <c:pt idx="4">
                        <c:v>2023</c:v>
                      </c:pt>
                      <c:pt idx="5">
                        <c:v>2024</c:v>
                      </c:pt>
                    </c:strCache>
                  </c:strRef>
                </c:cat>
                <c:val>
                  <c:numRef>
                    <c:extLst>
                      <c:ext uri="{02D57815-91ED-43cb-92C2-25804820EDAC}">
                        <c15:formulaRef>
                          <c15:sqref>Charts!$A$4:$A$8</c15:sqref>
                        </c15:formulaRef>
                      </c:ext>
                    </c:extLst>
                    <c:numCache>
                      <c:formatCode>General</c:formatCode>
                      <c:ptCount val="5"/>
                      <c:pt idx="0">
                        <c:v>2020</c:v>
                      </c:pt>
                      <c:pt idx="1">
                        <c:v>2021</c:v>
                      </c:pt>
                      <c:pt idx="2">
                        <c:v>2022</c:v>
                      </c:pt>
                      <c:pt idx="3">
                        <c:v>2023</c:v>
                      </c:pt>
                      <c:pt idx="4">
                        <c:v>2024</c:v>
                      </c:pt>
                    </c:numCache>
                  </c:numRef>
                </c:val>
                <c:extLst>
                  <c:ext xmlns:c16="http://schemas.microsoft.com/office/drawing/2014/chart" uri="{C3380CC4-5D6E-409C-BE32-E72D297353CC}">
                    <c16:uniqueId val="{00000000-76F1-43A0-BAD2-29C285B86888}"/>
                  </c:ext>
                </c:extLst>
              </c15:ser>
            </c15:filteredBarSeries>
          </c:ext>
        </c:extLst>
      </c:barChart>
      <c:lineChart>
        <c:grouping val="standard"/>
        <c:varyColors val="0"/>
        <c:ser>
          <c:idx val="3"/>
          <c:order val="3"/>
          <c:tx>
            <c:strRef>
              <c:f>Charts!$F$3</c:f>
              <c:strCache>
                <c:ptCount val="1"/>
                <c:pt idx="0">
                  <c:v>Current Ratio</c:v>
                </c:pt>
              </c:strCache>
            </c:strRef>
          </c:tx>
          <c:spPr>
            <a:ln w="28575" cap="rnd">
              <a:solidFill>
                <a:schemeClr val="accent4"/>
              </a:solidFill>
              <a:round/>
            </a:ln>
            <a:effectLst/>
          </c:spPr>
          <c:marker>
            <c:symbol val="none"/>
          </c:marker>
          <c:val>
            <c:numRef>
              <c:f>Charts!$F$4:$F$8</c:f>
              <c:numCache>
                <c:formatCode>0.00</c:formatCode>
                <c:ptCount val="5"/>
                <c:pt idx="0">
                  <c:v>0.85766074215799804</c:v>
                </c:pt>
                <c:pt idx="1">
                  <c:v>0.98093453273363318</c:v>
                </c:pt>
                <c:pt idx="2">
                  <c:v>0.87707624574744847</c:v>
                </c:pt>
                <c:pt idx="3">
                  <c:v>0.83208391759249267</c:v>
                </c:pt>
                <c:pt idx="4">
                  <c:v>0.82094113804446722</c:v>
                </c:pt>
              </c:numCache>
            </c:numRef>
          </c:val>
          <c:smooth val="0"/>
          <c:extLst>
            <c:ext xmlns:c16="http://schemas.microsoft.com/office/drawing/2014/chart" uri="{C3380CC4-5D6E-409C-BE32-E72D297353CC}">
              <c16:uniqueId val="{00000003-76F1-43A0-BAD2-29C285B86888}"/>
            </c:ext>
          </c:extLst>
        </c:ser>
        <c:ser>
          <c:idx val="4"/>
          <c:order val="4"/>
          <c:tx>
            <c:strRef>
              <c:f>Charts!$G$3</c:f>
              <c:strCache>
                <c:ptCount val="1"/>
                <c:pt idx="0">
                  <c:v>Quick Ratio</c:v>
                </c:pt>
              </c:strCache>
            </c:strRef>
          </c:tx>
          <c:spPr>
            <a:ln w="28575" cap="rnd">
              <a:solidFill>
                <a:schemeClr val="accent5"/>
              </a:solidFill>
              <a:round/>
            </a:ln>
            <a:effectLst/>
          </c:spPr>
          <c:marker>
            <c:symbol val="none"/>
          </c:marker>
          <c:val>
            <c:numRef>
              <c:f>Charts!$G$4:$G$8</c:f>
              <c:numCache>
                <c:formatCode>0.00</c:formatCode>
                <c:ptCount val="5"/>
                <c:pt idx="0">
                  <c:v>0.60336841045264589</c:v>
                </c:pt>
                <c:pt idx="1">
                  <c:v>0.68153423288355819</c:v>
                </c:pt>
                <c:pt idx="2">
                  <c:v>0.50137582549529713</c:v>
                </c:pt>
                <c:pt idx="3">
                  <c:v>0.51129867328227807</c:v>
                </c:pt>
                <c:pt idx="4">
                  <c:v>0.51158341693301912</c:v>
                </c:pt>
              </c:numCache>
            </c:numRef>
          </c:val>
          <c:smooth val="0"/>
          <c:extLst>
            <c:ext xmlns:c16="http://schemas.microsoft.com/office/drawing/2014/chart" uri="{C3380CC4-5D6E-409C-BE32-E72D297353CC}">
              <c16:uniqueId val="{00000004-76F1-43A0-BAD2-29C285B86888}"/>
            </c:ext>
          </c:extLst>
        </c:ser>
        <c:ser>
          <c:idx val="5"/>
          <c:order val="5"/>
          <c:tx>
            <c:strRef>
              <c:f>Charts!$H$3</c:f>
              <c:strCache>
                <c:ptCount val="1"/>
                <c:pt idx="0">
                  <c:v>Cash Ratio</c:v>
                </c:pt>
              </c:strCache>
            </c:strRef>
          </c:tx>
          <c:spPr>
            <a:ln w="28575" cap="rnd">
              <a:solidFill>
                <a:schemeClr val="tx1">
                  <a:lumMod val="85000"/>
                  <a:lumOff val="15000"/>
                </a:schemeClr>
              </a:solidFill>
              <a:round/>
            </a:ln>
            <a:effectLst/>
          </c:spPr>
          <c:marker>
            <c:symbol val="none"/>
          </c:marker>
          <c:val>
            <c:numRef>
              <c:f>Charts!$H$4:$H$8</c:f>
              <c:numCache>
                <c:formatCode>0.00</c:formatCode>
                <c:ptCount val="5"/>
                <c:pt idx="0">
                  <c:v>0.13179094708222144</c:v>
                </c:pt>
                <c:pt idx="1">
                  <c:v>0.17461269365317342</c:v>
                </c:pt>
                <c:pt idx="2">
                  <c:v>0.13785771462877727</c:v>
                </c:pt>
                <c:pt idx="3">
                  <c:v>0.12986732822780714</c:v>
                </c:pt>
                <c:pt idx="4">
                  <c:v>0.12962228495438957</c:v>
                </c:pt>
              </c:numCache>
            </c:numRef>
          </c:val>
          <c:smooth val="0"/>
          <c:extLst>
            <c:ext xmlns:c16="http://schemas.microsoft.com/office/drawing/2014/chart" uri="{C3380CC4-5D6E-409C-BE32-E72D297353CC}">
              <c16:uniqueId val="{00000005-76F1-43A0-BAD2-29C285B86888}"/>
            </c:ext>
          </c:extLst>
        </c:ser>
        <c:dLbls>
          <c:showLegendKey val="0"/>
          <c:showVal val="0"/>
          <c:showCatName val="0"/>
          <c:showSerName val="0"/>
          <c:showPercent val="0"/>
          <c:showBubbleSize val="0"/>
        </c:dLbls>
        <c:marker val="1"/>
        <c:smooth val="0"/>
        <c:axId val="2005505472"/>
        <c:axId val="2005501632"/>
      </c:lineChart>
      <c:catAx>
        <c:axId val="20054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93952"/>
        <c:crosses val="autoZero"/>
        <c:auto val="1"/>
        <c:lblAlgn val="ctr"/>
        <c:lblOffset val="100"/>
        <c:noMultiLvlLbl val="0"/>
      </c:catAx>
      <c:valAx>
        <c:axId val="200549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93472"/>
        <c:crosses val="autoZero"/>
        <c:crossBetween val="between"/>
      </c:valAx>
      <c:valAx>
        <c:axId val="20055016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05472"/>
        <c:crosses val="max"/>
        <c:crossBetween val="between"/>
      </c:valAx>
      <c:catAx>
        <c:axId val="2005505472"/>
        <c:scaling>
          <c:orientation val="minMax"/>
        </c:scaling>
        <c:delete val="1"/>
        <c:axPos val="b"/>
        <c:majorTickMark val="out"/>
        <c:minorTickMark val="none"/>
        <c:tickLblPos val="nextTo"/>
        <c:crossAx val="2005501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Profitability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Charts!$C$56</c:f>
              <c:strCache>
                <c:ptCount val="1"/>
                <c:pt idx="0">
                  <c:v>netsales</c:v>
                </c:pt>
              </c:strCache>
            </c:strRef>
          </c:tx>
          <c:spPr>
            <a:solidFill>
              <a:schemeClr val="accent6">
                <a:lumMod val="20000"/>
                <a:lumOff val="80000"/>
              </a:schemeClr>
            </a:solidFill>
            <a:ln>
              <a:noFill/>
            </a:ln>
            <a:effectLst/>
          </c:spPr>
          <c:invertIfNegative val="0"/>
          <c:cat>
            <c:numRef>
              <c:f>Charts!$A$57:$A$61</c:f>
              <c:numCache>
                <c:formatCode>General</c:formatCode>
                <c:ptCount val="5"/>
                <c:pt idx="0">
                  <c:v>2020</c:v>
                </c:pt>
                <c:pt idx="1">
                  <c:v>2021</c:v>
                </c:pt>
                <c:pt idx="2">
                  <c:v>2022</c:v>
                </c:pt>
                <c:pt idx="3">
                  <c:v>2023</c:v>
                </c:pt>
                <c:pt idx="4">
                  <c:v>2024</c:v>
                </c:pt>
              </c:numCache>
            </c:numRef>
          </c:cat>
          <c:val>
            <c:numRef>
              <c:f>Charts!$C$57:$C$61</c:f>
              <c:numCache>
                <c:formatCode>General</c:formatCode>
                <c:ptCount val="5"/>
                <c:pt idx="0">
                  <c:v>84343</c:v>
                </c:pt>
                <c:pt idx="1">
                  <c:v>87088</c:v>
                </c:pt>
                <c:pt idx="2">
                  <c:v>94424</c:v>
                </c:pt>
                <c:pt idx="3">
                  <c:v>92998</c:v>
                </c:pt>
                <c:pt idx="4">
                  <c:v>91354</c:v>
                </c:pt>
              </c:numCache>
            </c:numRef>
          </c:val>
          <c:extLst>
            <c:ext xmlns:c16="http://schemas.microsoft.com/office/drawing/2014/chart" uri="{C3380CC4-5D6E-409C-BE32-E72D297353CC}">
              <c16:uniqueId val="{00000001-D0D6-48C5-9435-DDF2E7158A04}"/>
            </c:ext>
          </c:extLst>
        </c:ser>
        <c:dLbls>
          <c:showLegendKey val="0"/>
          <c:showVal val="0"/>
          <c:showCatName val="0"/>
          <c:showSerName val="0"/>
          <c:showPercent val="0"/>
          <c:showBubbleSize val="0"/>
        </c:dLbls>
        <c:gapWidth val="150"/>
        <c:axId val="167809808"/>
        <c:axId val="167810288"/>
        <c:extLst>
          <c:ext xmlns:c15="http://schemas.microsoft.com/office/drawing/2012/chart" uri="{02D57815-91ED-43cb-92C2-25804820EDAC}">
            <c15:filteredBarSeries>
              <c15:ser>
                <c:idx val="0"/>
                <c:order val="0"/>
                <c:tx>
                  <c:strRef>
                    <c:extLst>
                      <c:ext uri="{02D57815-91ED-43cb-92C2-25804820EDAC}">
                        <c15:formulaRef>
                          <c15:sqref>Charts!$A$56</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Charts!$A$57:$A$61</c15:sqref>
                        </c15:formulaRef>
                      </c:ext>
                    </c:extLst>
                    <c:numCache>
                      <c:formatCode>General</c:formatCode>
                      <c:ptCount val="5"/>
                      <c:pt idx="0">
                        <c:v>2020</c:v>
                      </c:pt>
                      <c:pt idx="1">
                        <c:v>2021</c:v>
                      </c:pt>
                      <c:pt idx="2">
                        <c:v>2022</c:v>
                      </c:pt>
                      <c:pt idx="3">
                        <c:v>2023</c:v>
                      </c:pt>
                      <c:pt idx="4">
                        <c:v>2024</c:v>
                      </c:pt>
                    </c:numCache>
                  </c:numRef>
                </c:cat>
                <c:val>
                  <c:numRef>
                    <c:extLst>
                      <c:ext uri="{02D57815-91ED-43cb-92C2-25804820EDAC}">
                        <c15:formulaRef>
                          <c15:sqref>Charts!$A$57:$A$61</c15:sqref>
                        </c15:formulaRef>
                      </c:ext>
                    </c:extLst>
                    <c:numCache>
                      <c:formatCode>General</c:formatCode>
                      <c:ptCount val="5"/>
                      <c:pt idx="0">
                        <c:v>2020</c:v>
                      </c:pt>
                      <c:pt idx="1">
                        <c:v>2021</c:v>
                      </c:pt>
                      <c:pt idx="2">
                        <c:v>2022</c:v>
                      </c:pt>
                      <c:pt idx="3">
                        <c:v>2023</c:v>
                      </c:pt>
                      <c:pt idx="4">
                        <c:v>2024</c:v>
                      </c:pt>
                    </c:numCache>
                  </c:numRef>
                </c:val>
                <c:extLst>
                  <c:ext xmlns:c16="http://schemas.microsoft.com/office/drawing/2014/chart" uri="{C3380CC4-5D6E-409C-BE32-E72D297353CC}">
                    <c16:uniqueId val="{00000000-D0D6-48C5-9435-DDF2E7158A04}"/>
                  </c:ext>
                </c:extLst>
              </c15:ser>
            </c15:filteredBarSeries>
          </c:ext>
        </c:extLst>
      </c:barChart>
      <c:lineChart>
        <c:grouping val="standard"/>
        <c:varyColors val="0"/>
        <c:ser>
          <c:idx val="2"/>
          <c:order val="2"/>
          <c:tx>
            <c:strRef>
              <c:f>Charts!$D$56</c:f>
              <c:strCache>
                <c:ptCount val="1"/>
                <c:pt idx="0">
                  <c:v>GP </c:v>
                </c:pt>
              </c:strCache>
            </c:strRef>
          </c:tx>
          <c:spPr>
            <a:ln w="28575" cap="rnd">
              <a:solidFill>
                <a:sysClr val="windowText" lastClr="000000"/>
              </a:solidFill>
              <a:round/>
            </a:ln>
            <a:effectLst/>
          </c:spPr>
          <c:marker>
            <c:symbol val="none"/>
          </c:marker>
          <c:val>
            <c:numRef>
              <c:f>Charts!$D$57:$D$61</c:f>
              <c:numCache>
                <c:formatCode>0.00%</c:formatCode>
                <c:ptCount val="5"/>
                <c:pt idx="0">
                  <c:v>0.16875140794138221</c:v>
                </c:pt>
                <c:pt idx="1">
                  <c:v>0.13961739849347787</c:v>
                </c:pt>
                <c:pt idx="2">
                  <c:v>0.13974201474201475</c:v>
                </c:pt>
                <c:pt idx="3">
                  <c:v>0.15613238994386977</c:v>
                </c:pt>
                <c:pt idx="4">
                  <c:v>0.16017908356503274</c:v>
                </c:pt>
              </c:numCache>
            </c:numRef>
          </c:val>
          <c:smooth val="0"/>
          <c:extLst>
            <c:ext xmlns:c16="http://schemas.microsoft.com/office/drawing/2014/chart" uri="{C3380CC4-5D6E-409C-BE32-E72D297353CC}">
              <c16:uniqueId val="{00000002-D0D6-48C5-9435-DDF2E7158A04}"/>
            </c:ext>
          </c:extLst>
        </c:ser>
        <c:ser>
          <c:idx val="3"/>
          <c:order val="3"/>
          <c:tx>
            <c:strRef>
              <c:f>Charts!$D$65</c:f>
              <c:strCache>
                <c:ptCount val="1"/>
                <c:pt idx="0">
                  <c:v>NP</c:v>
                </c:pt>
              </c:strCache>
            </c:strRef>
          </c:tx>
          <c:spPr>
            <a:ln w="28575" cap="rnd">
              <a:solidFill>
                <a:schemeClr val="accent4"/>
              </a:solidFill>
              <a:round/>
            </a:ln>
            <a:effectLst/>
          </c:spPr>
          <c:marker>
            <c:symbol val="none"/>
          </c:marker>
          <c:val>
            <c:numRef>
              <c:f>Charts!$D$66:$D$70</c:f>
              <c:numCache>
                <c:formatCode>0.00%</c:formatCode>
                <c:ptCount val="5"/>
                <c:pt idx="0">
                  <c:v>0.14668674341676249</c:v>
                </c:pt>
                <c:pt idx="1">
                  <c:v>0.19745544736358625</c:v>
                </c:pt>
                <c:pt idx="2">
                  <c:v>0.10162670507498094</c:v>
                </c:pt>
                <c:pt idx="3">
                  <c:v>0.12375534957741027</c:v>
                </c:pt>
                <c:pt idx="4">
                  <c:v>0.12231538848873613</c:v>
                </c:pt>
              </c:numCache>
            </c:numRef>
          </c:val>
          <c:smooth val="0"/>
          <c:extLst>
            <c:ext xmlns:c16="http://schemas.microsoft.com/office/drawing/2014/chart" uri="{C3380CC4-5D6E-409C-BE32-E72D297353CC}">
              <c16:uniqueId val="{00000003-D0D6-48C5-9435-DDF2E7158A04}"/>
            </c:ext>
          </c:extLst>
        </c:ser>
        <c:dLbls>
          <c:showLegendKey val="0"/>
          <c:showVal val="0"/>
          <c:showCatName val="0"/>
          <c:showSerName val="0"/>
          <c:showPercent val="0"/>
          <c:showBubbleSize val="0"/>
        </c:dLbls>
        <c:marker val="1"/>
        <c:smooth val="0"/>
        <c:axId val="167769968"/>
        <c:axId val="167766128"/>
      </c:lineChart>
      <c:catAx>
        <c:axId val="16780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10288"/>
        <c:crosses val="autoZero"/>
        <c:auto val="1"/>
        <c:lblAlgn val="ctr"/>
        <c:lblOffset val="100"/>
        <c:noMultiLvlLbl val="0"/>
      </c:catAx>
      <c:valAx>
        <c:axId val="16781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9808"/>
        <c:crosses val="autoZero"/>
        <c:crossBetween val="between"/>
      </c:valAx>
      <c:valAx>
        <c:axId val="1677661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69968"/>
        <c:crosses val="max"/>
        <c:crossBetween val="between"/>
      </c:valAx>
      <c:catAx>
        <c:axId val="167769968"/>
        <c:scaling>
          <c:orientation val="minMax"/>
        </c:scaling>
        <c:delete val="1"/>
        <c:axPos val="b"/>
        <c:majorTickMark val="out"/>
        <c:minorTickMark val="none"/>
        <c:tickLblPos val="nextTo"/>
        <c:crossAx val="167766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Liquidity Ratios</a:t>
            </a:r>
          </a:p>
        </c:rich>
      </c:tx>
      <c:layout>
        <c:manualLayout>
          <c:xMode val="edge"/>
          <c:yMode val="edge"/>
          <c:x val="0.41520925136651499"/>
          <c:y val="2.1428571428571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Charts!$B$3</c:f>
              <c:strCache>
                <c:ptCount val="1"/>
                <c:pt idx="0">
                  <c:v>Current Assets</c:v>
                </c:pt>
              </c:strCache>
            </c:strRef>
          </c:tx>
          <c:spPr>
            <a:solidFill>
              <a:schemeClr val="accent2">
                <a:lumMod val="20000"/>
                <a:lumOff val="80000"/>
              </a:schemeClr>
            </a:solidFill>
            <a:ln>
              <a:noFill/>
            </a:ln>
            <a:effectLst/>
          </c:spPr>
          <c:invertIfNegative val="0"/>
          <c:cat>
            <c:strRef>
              <c:f>Charts!$A$3:$A$8</c:f>
              <c:strCache>
                <c:ptCount val="6"/>
                <c:pt idx="0">
                  <c:v>Year</c:v>
                </c:pt>
                <c:pt idx="1">
                  <c:v>2020</c:v>
                </c:pt>
                <c:pt idx="2">
                  <c:v>2021</c:v>
                </c:pt>
                <c:pt idx="3">
                  <c:v>2022</c:v>
                </c:pt>
                <c:pt idx="4">
                  <c:v>2023</c:v>
                </c:pt>
                <c:pt idx="5">
                  <c:v>2024</c:v>
                </c:pt>
              </c:strCache>
            </c:strRef>
          </c:cat>
          <c:val>
            <c:numRef>
              <c:f>Charts!$B$4:$B$8</c:f>
              <c:numCache>
                <c:formatCode>General</c:formatCode>
                <c:ptCount val="5"/>
                <c:pt idx="0">
                  <c:v>34068</c:v>
                </c:pt>
                <c:pt idx="1">
                  <c:v>39257</c:v>
                </c:pt>
                <c:pt idx="2">
                  <c:v>35062</c:v>
                </c:pt>
                <c:pt idx="3">
                  <c:v>30857</c:v>
                </c:pt>
                <c:pt idx="4">
                  <c:v>35188</c:v>
                </c:pt>
              </c:numCache>
            </c:numRef>
          </c:val>
          <c:extLst>
            <c:ext xmlns:c16="http://schemas.microsoft.com/office/drawing/2014/chart" uri="{C3380CC4-5D6E-409C-BE32-E72D297353CC}">
              <c16:uniqueId val="{00000000-C082-4144-BF7E-351727B158F6}"/>
            </c:ext>
          </c:extLst>
        </c:ser>
        <c:ser>
          <c:idx val="2"/>
          <c:order val="2"/>
          <c:tx>
            <c:strRef>
              <c:f>Charts!$E$3</c:f>
              <c:strCache>
                <c:ptCount val="1"/>
                <c:pt idx="0">
                  <c:v>Current Liabilities</c:v>
                </c:pt>
              </c:strCache>
            </c:strRef>
          </c:tx>
          <c:spPr>
            <a:solidFill>
              <a:schemeClr val="accent4">
                <a:lumMod val="20000"/>
                <a:lumOff val="80000"/>
              </a:schemeClr>
            </a:solidFill>
            <a:ln>
              <a:noFill/>
            </a:ln>
            <a:effectLst/>
          </c:spPr>
          <c:invertIfNegative val="0"/>
          <c:cat>
            <c:strRef>
              <c:f>Charts!$A$3:$A$8</c:f>
              <c:strCache>
                <c:ptCount val="6"/>
                <c:pt idx="0">
                  <c:v>Year</c:v>
                </c:pt>
                <c:pt idx="1">
                  <c:v>2020</c:v>
                </c:pt>
                <c:pt idx="2">
                  <c:v>2021</c:v>
                </c:pt>
                <c:pt idx="3">
                  <c:v>2022</c:v>
                </c:pt>
                <c:pt idx="4">
                  <c:v>2023</c:v>
                </c:pt>
                <c:pt idx="5">
                  <c:v>2024</c:v>
                </c:pt>
              </c:strCache>
            </c:strRef>
          </c:cat>
          <c:val>
            <c:numRef>
              <c:f>Charts!$E$4:$E$8</c:f>
              <c:numCache>
                <c:formatCode>General</c:formatCode>
                <c:ptCount val="5"/>
                <c:pt idx="0">
                  <c:v>39722</c:v>
                </c:pt>
                <c:pt idx="1">
                  <c:v>40020</c:v>
                </c:pt>
                <c:pt idx="2">
                  <c:v>39976</c:v>
                </c:pt>
                <c:pt idx="3">
                  <c:v>37084</c:v>
                </c:pt>
                <c:pt idx="4">
                  <c:v>42863</c:v>
                </c:pt>
              </c:numCache>
            </c:numRef>
          </c:val>
          <c:extLst>
            <c:ext xmlns:c16="http://schemas.microsoft.com/office/drawing/2014/chart" uri="{C3380CC4-5D6E-409C-BE32-E72D297353CC}">
              <c16:uniqueId val="{00000001-C082-4144-BF7E-351727B158F6}"/>
            </c:ext>
          </c:extLst>
        </c:ser>
        <c:dLbls>
          <c:showLegendKey val="0"/>
          <c:showVal val="0"/>
          <c:showCatName val="0"/>
          <c:showSerName val="0"/>
          <c:showPercent val="0"/>
          <c:showBubbleSize val="0"/>
        </c:dLbls>
        <c:gapWidth val="150"/>
        <c:axId val="2005493472"/>
        <c:axId val="2005493952"/>
        <c:extLst>
          <c:ext xmlns:c15="http://schemas.microsoft.com/office/drawing/2012/chart" uri="{02D57815-91ED-43cb-92C2-25804820EDAC}">
            <c15:filteredBarSeries>
              <c15:ser>
                <c:idx val="0"/>
                <c:order val="0"/>
                <c:tx>
                  <c:strRef>
                    <c:extLst>
                      <c:ext uri="{02D57815-91ED-43cb-92C2-25804820EDAC}">
                        <c15:formulaRef>
                          <c15:sqref>Charts!$A$3</c15:sqref>
                        </c15:formulaRef>
                      </c:ext>
                    </c:extLst>
                    <c:strCache>
                      <c:ptCount val="1"/>
                      <c:pt idx="0">
                        <c:v>Year</c:v>
                      </c:pt>
                    </c:strCache>
                  </c:strRef>
                </c:tx>
                <c:spPr>
                  <a:solidFill>
                    <a:schemeClr val="accent1"/>
                  </a:solidFill>
                  <a:ln>
                    <a:noFill/>
                  </a:ln>
                  <a:effectLst/>
                </c:spPr>
                <c:invertIfNegative val="0"/>
                <c:cat>
                  <c:strRef>
                    <c:extLst>
                      <c:ext uri="{02D57815-91ED-43cb-92C2-25804820EDAC}">
                        <c15:formulaRef>
                          <c15:sqref>Charts!$A$3:$A$8</c15:sqref>
                        </c15:formulaRef>
                      </c:ext>
                    </c:extLst>
                    <c:strCache>
                      <c:ptCount val="6"/>
                      <c:pt idx="0">
                        <c:v>Year</c:v>
                      </c:pt>
                      <c:pt idx="1">
                        <c:v>2020</c:v>
                      </c:pt>
                      <c:pt idx="2">
                        <c:v>2021</c:v>
                      </c:pt>
                      <c:pt idx="3">
                        <c:v>2022</c:v>
                      </c:pt>
                      <c:pt idx="4">
                        <c:v>2023</c:v>
                      </c:pt>
                      <c:pt idx="5">
                        <c:v>2024</c:v>
                      </c:pt>
                    </c:strCache>
                  </c:strRef>
                </c:cat>
                <c:val>
                  <c:numRef>
                    <c:extLst>
                      <c:ext uri="{02D57815-91ED-43cb-92C2-25804820EDAC}">
                        <c15:formulaRef>
                          <c15:sqref>Charts!$A$4:$A$8</c15:sqref>
                        </c15:formulaRef>
                      </c:ext>
                    </c:extLst>
                    <c:numCache>
                      <c:formatCode>General</c:formatCode>
                      <c:ptCount val="5"/>
                      <c:pt idx="0">
                        <c:v>2020</c:v>
                      </c:pt>
                      <c:pt idx="1">
                        <c:v>2021</c:v>
                      </c:pt>
                      <c:pt idx="2">
                        <c:v>2022</c:v>
                      </c:pt>
                      <c:pt idx="3">
                        <c:v>2023</c:v>
                      </c:pt>
                      <c:pt idx="4">
                        <c:v>2024</c:v>
                      </c:pt>
                    </c:numCache>
                  </c:numRef>
                </c:val>
                <c:extLst>
                  <c:ext xmlns:c16="http://schemas.microsoft.com/office/drawing/2014/chart" uri="{C3380CC4-5D6E-409C-BE32-E72D297353CC}">
                    <c16:uniqueId val="{00000005-C082-4144-BF7E-351727B158F6}"/>
                  </c:ext>
                </c:extLst>
              </c15:ser>
            </c15:filteredBarSeries>
          </c:ext>
        </c:extLst>
      </c:barChart>
      <c:lineChart>
        <c:grouping val="standard"/>
        <c:varyColors val="0"/>
        <c:ser>
          <c:idx val="3"/>
          <c:order val="3"/>
          <c:tx>
            <c:strRef>
              <c:f>Charts!$F$3</c:f>
              <c:strCache>
                <c:ptCount val="1"/>
                <c:pt idx="0">
                  <c:v>Current Ratio</c:v>
                </c:pt>
              </c:strCache>
            </c:strRef>
          </c:tx>
          <c:spPr>
            <a:ln w="28575" cap="rnd">
              <a:solidFill>
                <a:schemeClr val="accent4"/>
              </a:solidFill>
              <a:round/>
            </a:ln>
            <a:effectLst/>
          </c:spPr>
          <c:marker>
            <c:symbol val="none"/>
          </c:marker>
          <c:val>
            <c:numRef>
              <c:f>Charts!$F$4:$F$8</c:f>
              <c:numCache>
                <c:formatCode>0.00</c:formatCode>
                <c:ptCount val="5"/>
                <c:pt idx="0">
                  <c:v>0.85766074215799804</c:v>
                </c:pt>
                <c:pt idx="1">
                  <c:v>0.98093453273363318</c:v>
                </c:pt>
                <c:pt idx="2">
                  <c:v>0.87707624574744847</c:v>
                </c:pt>
                <c:pt idx="3">
                  <c:v>0.83208391759249267</c:v>
                </c:pt>
                <c:pt idx="4">
                  <c:v>0.82094113804446722</c:v>
                </c:pt>
              </c:numCache>
            </c:numRef>
          </c:val>
          <c:smooth val="0"/>
          <c:extLst>
            <c:ext xmlns:c16="http://schemas.microsoft.com/office/drawing/2014/chart" uri="{C3380CC4-5D6E-409C-BE32-E72D297353CC}">
              <c16:uniqueId val="{00000002-C082-4144-BF7E-351727B158F6}"/>
            </c:ext>
          </c:extLst>
        </c:ser>
        <c:ser>
          <c:idx val="4"/>
          <c:order val="4"/>
          <c:tx>
            <c:strRef>
              <c:f>Charts!$G$3</c:f>
              <c:strCache>
                <c:ptCount val="1"/>
                <c:pt idx="0">
                  <c:v>Quick Ratio</c:v>
                </c:pt>
              </c:strCache>
            </c:strRef>
          </c:tx>
          <c:spPr>
            <a:ln w="28575" cap="rnd">
              <a:solidFill>
                <a:schemeClr val="accent5"/>
              </a:solidFill>
              <a:round/>
            </a:ln>
            <a:effectLst/>
          </c:spPr>
          <c:marker>
            <c:symbol val="none"/>
          </c:marker>
          <c:val>
            <c:numRef>
              <c:f>Charts!$G$4:$G$8</c:f>
              <c:numCache>
                <c:formatCode>0.00</c:formatCode>
                <c:ptCount val="5"/>
                <c:pt idx="0">
                  <c:v>0.60336841045264589</c:v>
                </c:pt>
                <c:pt idx="1">
                  <c:v>0.68153423288355819</c:v>
                </c:pt>
                <c:pt idx="2">
                  <c:v>0.50137582549529713</c:v>
                </c:pt>
                <c:pt idx="3">
                  <c:v>0.51129867328227807</c:v>
                </c:pt>
                <c:pt idx="4">
                  <c:v>0.51158341693301912</c:v>
                </c:pt>
              </c:numCache>
            </c:numRef>
          </c:val>
          <c:smooth val="0"/>
          <c:extLst>
            <c:ext xmlns:c16="http://schemas.microsoft.com/office/drawing/2014/chart" uri="{C3380CC4-5D6E-409C-BE32-E72D297353CC}">
              <c16:uniqueId val="{00000003-C082-4144-BF7E-351727B158F6}"/>
            </c:ext>
          </c:extLst>
        </c:ser>
        <c:ser>
          <c:idx val="5"/>
          <c:order val="5"/>
          <c:tx>
            <c:strRef>
              <c:f>Charts!$H$3</c:f>
              <c:strCache>
                <c:ptCount val="1"/>
                <c:pt idx="0">
                  <c:v>Cash Ratio</c:v>
                </c:pt>
              </c:strCache>
            </c:strRef>
          </c:tx>
          <c:spPr>
            <a:ln w="28575" cap="rnd">
              <a:solidFill>
                <a:schemeClr val="tx1">
                  <a:lumMod val="85000"/>
                  <a:lumOff val="15000"/>
                </a:schemeClr>
              </a:solidFill>
              <a:round/>
            </a:ln>
            <a:effectLst/>
          </c:spPr>
          <c:marker>
            <c:symbol val="none"/>
          </c:marker>
          <c:val>
            <c:numRef>
              <c:f>Charts!$H$4:$H$8</c:f>
              <c:numCache>
                <c:formatCode>0.00</c:formatCode>
                <c:ptCount val="5"/>
                <c:pt idx="0">
                  <c:v>0.13179094708222144</c:v>
                </c:pt>
                <c:pt idx="1">
                  <c:v>0.17461269365317342</c:v>
                </c:pt>
                <c:pt idx="2">
                  <c:v>0.13785771462877727</c:v>
                </c:pt>
                <c:pt idx="3">
                  <c:v>0.12986732822780714</c:v>
                </c:pt>
                <c:pt idx="4">
                  <c:v>0.12962228495438957</c:v>
                </c:pt>
              </c:numCache>
            </c:numRef>
          </c:val>
          <c:smooth val="0"/>
          <c:extLst>
            <c:ext xmlns:c16="http://schemas.microsoft.com/office/drawing/2014/chart" uri="{C3380CC4-5D6E-409C-BE32-E72D297353CC}">
              <c16:uniqueId val="{00000004-C082-4144-BF7E-351727B158F6}"/>
            </c:ext>
          </c:extLst>
        </c:ser>
        <c:dLbls>
          <c:showLegendKey val="0"/>
          <c:showVal val="0"/>
          <c:showCatName val="0"/>
          <c:showSerName val="0"/>
          <c:showPercent val="0"/>
          <c:showBubbleSize val="0"/>
        </c:dLbls>
        <c:marker val="1"/>
        <c:smooth val="0"/>
        <c:axId val="2005505472"/>
        <c:axId val="2005501632"/>
      </c:lineChart>
      <c:catAx>
        <c:axId val="20054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93952"/>
        <c:crosses val="autoZero"/>
        <c:auto val="1"/>
        <c:lblAlgn val="ctr"/>
        <c:lblOffset val="100"/>
        <c:noMultiLvlLbl val="0"/>
      </c:catAx>
      <c:valAx>
        <c:axId val="200549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93472"/>
        <c:crosses val="autoZero"/>
        <c:crossBetween val="between"/>
      </c:valAx>
      <c:valAx>
        <c:axId val="20055016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05472"/>
        <c:crosses val="max"/>
        <c:crossBetween val="between"/>
      </c:valAx>
      <c:catAx>
        <c:axId val="2005505472"/>
        <c:scaling>
          <c:orientation val="minMax"/>
        </c:scaling>
        <c:delete val="1"/>
        <c:axPos val="b"/>
        <c:majorTickMark val="out"/>
        <c:minorTickMark val="none"/>
        <c:tickLblPos val="nextTo"/>
        <c:crossAx val="2005501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'Debt to Equity'!$C$6</c:f>
              <c:strCache>
                <c:ptCount val="1"/>
                <c:pt idx="0">
                  <c:v>total equity</c:v>
                </c:pt>
              </c:strCache>
            </c:strRef>
          </c:tx>
          <c:spPr>
            <a:solidFill>
              <a:schemeClr val="accent3"/>
            </a:solidFill>
            <a:ln>
              <a:noFill/>
            </a:ln>
            <a:effectLst/>
          </c:spPr>
          <c:invertIfNegative val="0"/>
          <c:cat>
            <c:numRef>
              <c:f>'Debt to Equity'!$A$7:$A$11</c:f>
              <c:numCache>
                <c:formatCode>General</c:formatCode>
                <c:ptCount val="5"/>
                <c:pt idx="0">
                  <c:v>2020</c:v>
                </c:pt>
                <c:pt idx="1">
                  <c:v>2021</c:v>
                </c:pt>
                <c:pt idx="2">
                  <c:v>2022</c:v>
                </c:pt>
                <c:pt idx="3">
                  <c:v>2023</c:v>
                </c:pt>
                <c:pt idx="4">
                  <c:v>2024</c:v>
                </c:pt>
              </c:numCache>
            </c:numRef>
          </c:cat>
          <c:val>
            <c:numRef>
              <c:f>'Debt to Equity'!$C$7:$C$11</c:f>
              <c:numCache>
                <c:formatCode>General</c:formatCode>
                <c:ptCount val="5"/>
                <c:pt idx="0">
                  <c:v>46514</c:v>
                </c:pt>
                <c:pt idx="1">
                  <c:v>53727</c:v>
                </c:pt>
                <c:pt idx="2">
                  <c:v>42792</c:v>
                </c:pt>
                <c:pt idx="3">
                  <c:v>36387</c:v>
                </c:pt>
                <c:pt idx="4">
                  <c:v>36693</c:v>
                </c:pt>
              </c:numCache>
            </c:numRef>
          </c:val>
          <c:extLst>
            <c:ext xmlns:c16="http://schemas.microsoft.com/office/drawing/2014/chart" uri="{C3380CC4-5D6E-409C-BE32-E72D297353CC}">
              <c16:uniqueId val="{00000000-5421-4405-9E55-5FAE29F22C7B}"/>
            </c:ext>
          </c:extLst>
        </c:ser>
        <c:ser>
          <c:idx val="1"/>
          <c:order val="1"/>
          <c:tx>
            <c:strRef>
              <c:f>'Debt to Equity'!$B$6</c:f>
              <c:strCache>
                <c:ptCount val="1"/>
                <c:pt idx="0">
                  <c:v>total debt</c:v>
                </c:pt>
              </c:strCache>
            </c:strRef>
          </c:tx>
          <c:spPr>
            <a:solidFill>
              <a:schemeClr val="accent2"/>
            </a:solidFill>
            <a:ln>
              <a:noFill/>
            </a:ln>
            <a:effectLst/>
          </c:spPr>
          <c:invertIfNegative val="0"/>
          <c:cat>
            <c:numRef>
              <c:f>'Debt to Equity'!$A$7:$A$11</c:f>
              <c:numCache>
                <c:formatCode>General</c:formatCode>
                <c:ptCount val="5"/>
                <c:pt idx="0">
                  <c:v>2020</c:v>
                </c:pt>
                <c:pt idx="1">
                  <c:v>2021</c:v>
                </c:pt>
                <c:pt idx="2">
                  <c:v>2022</c:v>
                </c:pt>
                <c:pt idx="3">
                  <c:v>2023</c:v>
                </c:pt>
                <c:pt idx="4">
                  <c:v>2024</c:v>
                </c:pt>
              </c:numCache>
            </c:numRef>
          </c:cat>
          <c:val>
            <c:numRef>
              <c:f>'Debt to Equity'!$B$7:$B$11</c:f>
              <c:numCache>
                <c:formatCode>General</c:formatCode>
                <c:ptCount val="5"/>
                <c:pt idx="0">
                  <c:v>39947</c:v>
                </c:pt>
                <c:pt idx="1">
                  <c:v>46574</c:v>
                </c:pt>
                <c:pt idx="2">
                  <c:v>54312</c:v>
                </c:pt>
                <c:pt idx="3">
                  <c:v>55241</c:v>
                </c:pt>
                <c:pt idx="4">
                  <c:v>63560</c:v>
                </c:pt>
              </c:numCache>
            </c:numRef>
          </c:val>
          <c:extLst>
            <c:ext xmlns:c16="http://schemas.microsoft.com/office/drawing/2014/chart" uri="{C3380CC4-5D6E-409C-BE32-E72D297353CC}">
              <c16:uniqueId val="{00000001-5421-4405-9E55-5FAE29F22C7B}"/>
            </c:ext>
          </c:extLst>
        </c:ser>
        <c:dLbls>
          <c:showLegendKey val="0"/>
          <c:showVal val="0"/>
          <c:showCatName val="0"/>
          <c:showSerName val="0"/>
          <c:showPercent val="0"/>
          <c:showBubbleSize val="0"/>
        </c:dLbls>
        <c:gapWidth val="150"/>
        <c:axId val="224104144"/>
        <c:axId val="819322928"/>
      </c:barChart>
      <c:lineChart>
        <c:grouping val="standard"/>
        <c:varyColors val="0"/>
        <c:ser>
          <c:idx val="3"/>
          <c:order val="2"/>
          <c:tx>
            <c:strRef>
              <c:f>'Debt to Equity'!$D$6</c:f>
              <c:strCache>
                <c:ptCount val="1"/>
                <c:pt idx="0">
                  <c:v>D O E</c:v>
                </c:pt>
              </c:strCache>
            </c:strRef>
          </c:tx>
          <c:spPr>
            <a:ln w="28575" cap="rnd">
              <a:solidFill>
                <a:schemeClr val="accent4"/>
              </a:solidFill>
              <a:round/>
            </a:ln>
            <a:effectLst/>
          </c:spPr>
          <c:marker>
            <c:symbol val="none"/>
          </c:marker>
          <c:val>
            <c:numRef>
              <c:f>'Debt to Equity'!$D$7:$D$11</c:f>
              <c:numCache>
                <c:formatCode>0.00</c:formatCode>
                <c:ptCount val="5"/>
                <c:pt idx="0">
                  <c:v>0.85881670034828228</c:v>
                </c:pt>
                <c:pt idx="1">
                  <c:v>0.86686396039235392</c:v>
                </c:pt>
                <c:pt idx="2">
                  <c:v>1.269209197980931</c:v>
                </c:pt>
                <c:pt idx="3">
                  <c:v>1.51815208728392</c:v>
                </c:pt>
                <c:pt idx="4">
                  <c:v>1.7322105033657647</c:v>
                </c:pt>
              </c:numCache>
            </c:numRef>
          </c:val>
          <c:smooth val="0"/>
          <c:extLst>
            <c:ext xmlns:c16="http://schemas.microsoft.com/office/drawing/2014/chart" uri="{C3380CC4-5D6E-409C-BE32-E72D297353CC}">
              <c16:uniqueId val="{00000002-5421-4405-9E55-5FAE29F22C7B}"/>
            </c:ext>
          </c:extLst>
        </c:ser>
        <c:dLbls>
          <c:showLegendKey val="0"/>
          <c:showVal val="0"/>
          <c:showCatName val="0"/>
          <c:showSerName val="0"/>
          <c:showPercent val="0"/>
          <c:showBubbleSize val="0"/>
        </c:dLbls>
        <c:marker val="1"/>
        <c:smooth val="0"/>
        <c:axId val="1992977536"/>
        <c:axId val="1992965536"/>
      </c:lineChart>
      <c:catAx>
        <c:axId val="2241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22928"/>
        <c:crosses val="autoZero"/>
        <c:auto val="1"/>
        <c:lblAlgn val="ctr"/>
        <c:lblOffset val="100"/>
        <c:noMultiLvlLbl val="0"/>
      </c:catAx>
      <c:valAx>
        <c:axId val="81932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04144"/>
        <c:crosses val="autoZero"/>
        <c:crossBetween val="between"/>
      </c:valAx>
      <c:valAx>
        <c:axId val="1992965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77536"/>
        <c:crosses val="max"/>
        <c:crossBetween val="between"/>
      </c:valAx>
      <c:catAx>
        <c:axId val="1992977536"/>
        <c:scaling>
          <c:orientation val="minMax"/>
        </c:scaling>
        <c:delete val="1"/>
        <c:axPos val="b"/>
        <c:majorTickMark val="out"/>
        <c:minorTickMark val="none"/>
        <c:tickLblPos val="nextTo"/>
        <c:crossAx val="1992965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Leverages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Leverage!$B$35</c:f>
              <c:strCache>
                <c:ptCount val="1"/>
                <c:pt idx="0">
                  <c:v>Sales</c:v>
                </c:pt>
              </c:strCache>
            </c:strRef>
          </c:tx>
          <c:spPr>
            <a:solidFill>
              <a:schemeClr val="accent6">
                <a:lumMod val="20000"/>
                <a:lumOff val="80000"/>
              </a:schemeClr>
            </a:solidFill>
            <a:ln>
              <a:noFill/>
            </a:ln>
            <a:effectLst/>
          </c:spPr>
          <c:invertIfNegative val="0"/>
          <c:cat>
            <c:numRef>
              <c:f>Leverage!$A$36:$A$40</c:f>
              <c:numCache>
                <c:formatCode>General</c:formatCode>
                <c:ptCount val="5"/>
                <c:pt idx="0">
                  <c:v>2020</c:v>
                </c:pt>
                <c:pt idx="1">
                  <c:v>2021</c:v>
                </c:pt>
                <c:pt idx="2">
                  <c:v>2022</c:v>
                </c:pt>
                <c:pt idx="3">
                  <c:v>2023</c:v>
                </c:pt>
                <c:pt idx="4">
                  <c:v>2024</c:v>
                </c:pt>
              </c:numCache>
            </c:numRef>
          </c:cat>
          <c:val>
            <c:numRef>
              <c:f>Leverage!$B$36:$B$40</c:f>
              <c:numCache>
                <c:formatCode>General</c:formatCode>
                <c:ptCount val="5"/>
                <c:pt idx="0">
                  <c:v>84343</c:v>
                </c:pt>
                <c:pt idx="1">
                  <c:v>87088</c:v>
                </c:pt>
                <c:pt idx="2">
                  <c:v>94424</c:v>
                </c:pt>
                <c:pt idx="3">
                  <c:v>92998</c:v>
                </c:pt>
                <c:pt idx="4">
                  <c:v>91354</c:v>
                </c:pt>
              </c:numCache>
            </c:numRef>
          </c:val>
          <c:extLst>
            <c:ext xmlns:c16="http://schemas.microsoft.com/office/drawing/2014/chart" uri="{C3380CC4-5D6E-409C-BE32-E72D297353CC}">
              <c16:uniqueId val="{00000000-D487-4038-84CB-588774367E2A}"/>
            </c:ext>
          </c:extLst>
        </c:ser>
        <c:dLbls>
          <c:showLegendKey val="0"/>
          <c:showVal val="0"/>
          <c:showCatName val="0"/>
          <c:showSerName val="0"/>
          <c:showPercent val="0"/>
          <c:showBubbleSize val="0"/>
        </c:dLbls>
        <c:gapWidth val="150"/>
        <c:axId val="167745968"/>
        <c:axId val="167746448"/>
        <c:extLst>
          <c:ext xmlns:c15="http://schemas.microsoft.com/office/drawing/2012/chart" uri="{02D57815-91ED-43cb-92C2-25804820EDAC}">
            <c15:filteredBarSeries>
              <c15:ser>
                <c:idx val="0"/>
                <c:order val="0"/>
                <c:tx>
                  <c:strRef>
                    <c:extLst>
                      <c:ext uri="{02D57815-91ED-43cb-92C2-25804820EDAC}">
                        <c15:formulaRef>
                          <c15:sqref>Leverage!$A$35</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Leverage!$A$36:$A$40</c15:sqref>
                        </c15:formulaRef>
                      </c:ext>
                    </c:extLst>
                    <c:numCache>
                      <c:formatCode>General</c:formatCode>
                      <c:ptCount val="5"/>
                      <c:pt idx="0">
                        <c:v>2020</c:v>
                      </c:pt>
                      <c:pt idx="1">
                        <c:v>2021</c:v>
                      </c:pt>
                      <c:pt idx="2">
                        <c:v>2022</c:v>
                      </c:pt>
                      <c:pt idx="3">
                        <c:v>2023</c:v>
                      </c:pt>
                      <c:pt idx="4">
                        <c:v>2024</c:v>
                      </c:pt>
                    </c:numCache>
                  </c:numRef>
                </c:cat>
                <c:val>
                  <c:numRef>
                    <c:extLst>
                      <c:ext uri="{02D57815-91ED-43cb-92C2-25804820EDAC}">
                        <c15:formulaRef>
                          <c15:sqref>Leverage!$A$36:$A$40</c15:sqref>
                        </c15:formulaRef>
                      </c:ext>
                    </c:extLst>
                    <c:numCache>
                      <c:formatCode>General</c:formatCode>
                      <c:ptCount val="5"/>
                      <c:pt idx="0">
                        <c:v>2020</c:v>
                      </c:pt>
                      <c:pt idx="1">
                        <c:v>2021</c:v>
                      </c:pt>
                      <c:pt idx="2">
                        <c:v>2022</c:v>
                      </c:pt>
                      <c:pt idx="3">
                        <c:v>2023</c:v>
                      </c:pt>
                      <c:pt idx="4">
                        <c:v>2024</c:v>
                      </c:pt>
                    </c:numCache>
                  </c:numRef>
                </c:val>
                <c:extLst>
                  <c:ext xmlns:c16="http://schemas.microsoft.com/office/drawing/2014/chart" uri="{C3380CC4-5D6E-409C-BE32-E72D297353CC}">
                    <c16:uniqueId val="{00000004-D487-4038-84CB-588774367E2A}"/>
                  </c:ext>
                </c:extLst>
              </c15:ser>
            </c15:filteredBarSeries>
          </c:ext>
        </c:extLst>
      </c:barChart>
      <c:lineChart>
        <c:grouping val="standard"/>
        <c:varyColors val="0"/>
        <c:ser>
          <c:idx val="2"/>
          <c:order val="2"/>
          <c:tx>
            <c:strRef>
              <c:f>Leverage!$F$35</c:f>
              <c:strCache>
                <c:ptCount val="1"/>
                <c:pt idx="0">
                  <c:v>OL</c:v>
                </c:pt>
              </c:strCache>
            </c:strRef>
          </c:tx>
          <c:spPr>
            <a:ln w="28575" cap="rnd">
              <a:solidFill>
                <a:schemeClr val="accent2">
                  <a:lumMod val="50000"/>
                </a:schemeClr>
              </a:solidFill>
              <a:round/>
            </a:ln>
            <a:effectLst/>
          </c:spPr>
          <c:marker>
            <c:symbol val="none"/>
          </c:marker>
          <c:cat>
            <c:numRef>
              <c:f>Leverage!$A$36:$A$40</c:f>
              <c:numCache>
                <c:formatCode>General</c:formatCode>
                <c:ptCount val="5"/>
                <c:pt idx="0">
                  <c:v>2020</c:v>
                </c:pt>
                <c:pt idx="1">
                  <c:v>2021</c:v>
                </c:pt>
                <c:pt idx="2">
                  <c:v>2022</c:v>
                </c:pt>
                <c:pt idx="3">
                  <c:v>2023</c:v>
                </c:pt>
                <c:pt idx="4">
                  <c:v>2024</c:v>
                </c:pt>
              </c:numCache>
            </c:numRef>
          </c:cat>
          <c:val>
            <c:numRef>
              <c:f>Leverage!$F$36:$F$40</c:f>
              <c:numCache>
                <c:formatCode>0.00</c:formatCode>
                <c:ptCount val="5"/>
                <c:pt idx="0">
                  <c:v>0.89738948159636667</c:v>
                </c:pt>
                <c:pt idx="1">
                  <c:v>-6.4729041374348704</c:v>
                </c:pt>
                <c:pt idx="2">
                  <c:v>0.65765422806343776</c:v>
                </c:pt>
                <c:pt idx="3">
                  <c:v>-9.3312650097776206</c:v>
                </c:pt>
                <c:pt idx="4">
                  <c:v>-2.6588588231650658</c:v>
                </c:pt>
              </c:numCache>
            </c:numRef>
          </c:val>
          <c:smooth val="0"/>
          <c:extLst>
            <c:ext xmlns:c16="http://schemas.microsoft.com/office/drawing/2014/chart" uri="{C3380CC4-5D6E-409C-BE32-E72D297353CC}">
              <c16:uniqueId val="{00000001-D487-4038-84CB-588774367E2A}"/>
            </c:ext>
          </c:extLst>
        </c:ser>
        <c:ser>
          <c:idx val="3"/>
          <c:order val="3"/>
          <c:tx>
            <c:strRef>
              <c:f>Leverage!$G$35</c:f>
              <c:strCache>
                <c:ptCount val="1"/>
                <c:pt idx="0">
                  <c:v>FL</c:v>
                </c:pt>
              </c:strCache>
            </c:strRef>
          </c:tx>
          <c:spPr>
            <a:ln w="28575" cap="rnd">
              <a:solidFill>
                <a:schemeClr val="accent4"/>
              </a:solidFill>
              <a:round/>
            </a:ln>
            <a:effectLst/>
          </c:spPr>
          <c:marker>
            <c:symbol val="none"/>
          </c:marker>
          <c:val>
            <c:numRef>
              <c:f>Leverage!$G$36:$G$40</c:f>
              <c:numCache>
                <c:formatCode>0.00</c:formatCode>
                <c:ptCount val="5"/>
                <c:pt idx="0">
                  <c:v>0.25452763363600595</c:v>
                </c:pt>
                <c:pt idx="1">
                  <c:v>-1.1220921275565277</c:v>
                </c:pt>
                <c:pt idx="2">
                  <c:v>-6.6157020128958735</c:v>
                </c:pt>
                <c:pt idx="3">
                  <c:v>0.86183074265975812</c:v>
                </c:pt>
                <c:pt idx="4">
                  <c:v>1.0235188715599632</c:v>
                </c:pt>
              </c:numCache>
            </c:numRef>
          </c:val>
          <c:smooth val="0"/>
          <c:extLst>
            <c:ext xmlns:c16="http://schemas.microsoft.com/office/drawing/2014/chart" uri="{C3380CC4-5D6E-409C-BE32-E72D297353CC}">
              <c16:uniqueId val="{00000002-D487-4038-84CB-588774367E2A}"/>
            </c:ext>
          </c:extLst>
        </c:ser>
        <c:ser>
          <c:idx val="4"/>
          <c:order val="4"/>
          <c:tx>
            <c:strRef>
              <c:f>Leverage!$H$35</c:f>
              <c:strCache>
                <c:ptCount val="1"/>
                <c:pt idx="0">
                  <c:v>CL</c:v>
                </c:pt>
              </c:strCache>
            </c:strRef>
          </c:tx>
          <c:spPr>
            <a:ln w="28575" cap="rnd">
              <a:solidFill>
                <a:schemeClr val="accent5"/>
              </a:solidFill>
              <a:round/>
            </a:ln>
            <a:effectLst/>
          </c:spPr>
          <c:marker>
            <c:symbol val="none"/>
          </c:marker>
          <c:val>
            <c:numRef>
              <c:f>Leverage!$H$36:$H$40</c:f>
              <c:numCache>
                <c:formatCode>0.00</c:formatCode>
                <c:ptCount val="5"/>
                <c:pt idx="0">
                  <c:v>0.22841042120056532</c:v>
                </c:pt>
                <c:pt idx="1">
                  <c:v>7.2631947750437433</c:v>
                </c:pt>
                <c:pt idx="2">
                  <c:v>-4.350844400388767</c:v>
                </c:pt>
                <c:pt idx="3">
                  <c:v>-8.0419710533316611</c:v>
                </c:pt>
                <c:pt idx="4">
                  <c:v>-2.7213921823231599</c:v>
                </c:pt>
              </c:numCache>
            </c:numRef>
          </c:val>
          <c:smooth val="0"/>
          <c:extLst>
            <c:ext xmlns:c16="http://schemas.microsoft.com/office/drawing/2014/chart" uri="{C3380CC4-5D6E-409C-BE32-E72D297353CC}">
              <c16:uniqueId val="{00000003-D487-4038-84CB-588774367E2A}"/>
            </c:ext>
          </c:extLst>
        </c:ser>
        <c:dLbls>
          <c:showLegendKey val="0"/>
          <c:showVal val="0"/>
          <c:showCatName val="0"/>
          <c:showSerName val="0"/>
          <c:showPercent val="0"/>
          <c:showBubbleSize val="0"/>
        </c:dLbls>
        <c:marker val="1"/>
        <c:smooth val="0"/>
        <c:axId val="167844848"/>
        <c:axId val="167860208"/>
      </c:lineChart>
      <c:catAx>
        <c:axId val="167745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6448"/>
        <c:crosses val="autoZero"/>
        <c:auto val="1"/>
        <c:lblAlgn val="ctr"/>
        <c:lblOffset val="100"/>
        <c:noMultiLvlLbl val="0"/>
      </c:catAx>
      <c:valAx>
        <c:axId val="16774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45968"/>
        <c:crosses val="autoZero"/>
        <c:crossBetween val="between"/>
      </c:valAx>
      <c:valAx>
        <c:axId val="1678602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Leverage Ratios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4848"/>
        <c:crosses val="max"/>
        <c:crossBetween val="between"/>
      </c:valAx>
      <c:catAx>
        <c:axId val="167844848"/>
        <c:scaling>
          <c:orientation val="minMax"/>
        </c:scaling>
        <c:delete val="1"/>
        <c:axPos val="b"/>
        <c:numFmt formatCode="General" sourceLinked="1"/>
        <c:majorTickMark val="out"/>
        <c:minorTickMark val="none"/>
        <c:tickLblPos val="nextTo"/>
        <c:crossAx val="1678602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ASSET</a:t>
            </a:r>
            <a:r>
              <a:rPr lang="en-GB" baseline="0"/>
              <a:t> 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'Efficiency Ratios'!$C$8</c:f>
              <c:strCache>
                <c:ptCount val="1"/>
                <c:pt idx="0">
                  <c:v>total asset</c:v>
                </c:pt>
              </c:strCache>
            </c:strRef>
          </c:tx>
          <c:spPr>
            <a:solidFill>
              <a:schemeClr val="accent3"/>
            </a:solidFill>
            <a:ln>
              <a:noFill/>
            </a:ln>
            <a:effectLst/>
          </c:spPr>
          <c:invertIfNegative val="0"/>
          <c:cat>
            <c:numRef>
              <c:f>'Efficiency Ratios'!$A$9:$A$13</c:f>
              <c:numCache>
                <c:formatCode>General</c:formatCode>
                <c:ptCount val="5"/>
                <c:pt idx="0">
                  <c:v>2020</c:v>
                </c:pt>
                <c:pt idx="1">
                  <c:v>2021</c:v>
                </c:pt>
                <c:pt idx="2">
                  <c:v>2022</c:v>
                </c:pt>
                <c:pt idx="3">
                  <c:v>2023</c:v>
                </c:pt>
                <c:pt idx="4">
                  <c:v>2024</c:v>
                </c:pt>
              </c:numCache>
            </c:numRef>
          </c:cat>
          <c:val>
            <c:numRef>
              <c:f>'Efficiency Ratios'!$C$9:$C$13</c:f>
              <c:numCache>
                <c:formatCode>General</c:formatCode>
                <c:ptCount val="5"/>
                <c:pt idx="0">
                  <c:v>124028</c:v>
                </c:pt>
                <c:pt idx="1">
                  <c:v>139142</c:v>
                </c:pt>
                <c:pt idx="2">
                  <c:v>135182</c:v>
                </c:pt>
                <c:pt idx="3">
                  <c:v>126550</c:v>
                </c:pt>
                <c:pt idx="4">
                  <c:v>139264</c:v>
                </c:pt>
              </c:numCache>
            </c:numRef>
          </c:val>
          <c:extLst>
            <c:ext xmlns:c16="http://schemas.microsoft.com/office/drawing/2014/chart" uri="{C3380CC4-5D6E-409C-BE32-E72D297353CC}">
              <c16:uniqueId val="{00000000-5C82-43CD-8F21-B1CDFE0B69FC}"/>
            </c:ext>
          </c:extLst>
        </c:ser>
        <c:ser>
          <c:idx val="1"/>
          <c:order val="1"/>
          <c:tx>
            <c:strRef>
              <c:f>'Efficiency Ratios'!$B$8</c:f>
              <c:strCache>
                <c:ptCount val="1"/>
                <c:pt idx="0">
                  <c:v>SALES</c:v>
                </c:pt>
              </c:strCache>
            </c:strRef>
          </c:tx>
          <c:spPr>
            <a:solidFill>
              <a:schemeClr val="accent2"/>
            </a:solidFill>
            <a:ln>
              <a:noFill/>
            </a:ln>
            <a:effectLst/>
          </c:spPr>
          <c:invertIfNegative val="0"/>
          <c:cat>
            <c:numRef>
              <c:f>'Efficiency Ratios'!$A$9:$A$13</c:f>
              <c:numCache>
                <c:formatCode>General</c:formatCode>
                <c:ptCount val="5"/>
                <c:pt idx="0">
                  <c:v>2020</c:v>
                </c:pt>
                <c:pt idx="1">
                  <c:v>2021</c:v>
                </c:pt>
                <c:pt idx="2">
                  <c:v>2022</c:v>
                </c:pt>
                <c:pt idx="3">
                  <c:v>2023</c:v>
                </c:pt>
                <c:pt idx="4">
                  <c:v>2024</c:v>
                </c:pt>
              </c:numCache>
            </c:numRef>
          </c:cat>
          <c:val>
            <c:numRef>
              <c:f>'Efficiency Ratios'!$B$9:$B$13</c:f>
              <c:numCache>
                <c:formatCode>General</c:formatCode>
                <c:ptCount val="5"/>
                <c:pt idx="0">
                  <c:v>84343</c:v>
                </c:pt>
                <c:pt idx="1">
                  <c:v>87088</c:v>
                </c:pt>
                <c:pt idx="2">
                  <c:v>94424</c:v>
                </c:pt>
                <c:pt idx="3">
                  <c:v>92998</c:v>
                </c:pt>
                <c:pt idx="4">
                  <c:v>91354</c:v>
                </c:pt>
              </c:numCache>
            </c:numRef>
          </c:val>
          <c:extLst>
            <c:ext xmlns:c16="http://schemas.microsoft.com/office/drawing/2014/chart" uri="{C3380CC4-5D6E-409C-BE32-E72D297353CC}">
              <c16:uniqueId val="{00000001-5C82-43CD-8F21-B1CDFE0B69FC}"/>
            </c:ext>
          </c:extLst>
        </c:ser>
        <c:dLbls>
          <c:showLegendKey val="0"/>
          <c:showVal val="0"/>
          <c:showCatName val="0"/>
          <c:showSerName val="0"/>
          <c:showPercent val="0"/>
          <c:showBubbleSize val="0"/>
        </c:dLbls>
        <c:gapWidth val="150"/>
        <c:axId val="1145733520"/>
        <c:axId val="1145735232"/>
      </c:barChart>
      <c:lineChart>
        <c:grouping val="standard"/>
        <c:varyColors val="0"/>
        <c:ser>
          <c:idx val="3"/>
          <c:order val="2"/>
          <c:tx>
            <c:strRef>
              <c:f>'Efficiency Ratios'!$D$8</c:f>
              <c:strCache>
                <c:ptCount val="1"/>
                <c:pt idx="0">
                  <c:v>Asset T/O Ratio</c:v>
                </c:pt>
              </c:strCache>
            </c:strRef>
          </c:tx>
          <c:spPr>
            <a:ln w="28575" cap="rnd">
              <a:solidFill>
                <a:schemeClr val="accent4"/>
              </a:solidFill>
              <a:round/>
            </a:ln>
            <a:effectLst/>
          </c:spPr>
          <c:marker>
            <c:symbol val="none"/>
          </c:marker>
          <c:val>
            <c:numRef>
              <c:f>'Efficiency Ratios'!$D$9:$D$13</c:f>
              <c:numCache>
                <c:formatCode>0.00</c:formatCode>
                <c:ptCount val="5"/>
                <c:pt idx="0">
                  <c:v>0.68003192827426062</c:v>
                </c:pt>
                <c:pt idx="1">
                  <c:v>0.62589297264664878</c:v>
                </c:pt>
                <c:pt idx="2">
                  <c:v>0.69849536180852478</c:v>
                </c:pt>
                <c:pt idx="3">
                  <c:v>0.73487159225602527</c:v>
                </c:pt>
                <c:pt idx="4">
                  <c:v>0.65597713694852944</c:v>
                </c:pt>
              </c:numCache>
            </c:numRef>
          </c:val>
          <c:smooth val="0"/>
          <c:extLst>
            <c:ext xmlns:c16="http://schemas.microsoft.com/office/drawing/2014/chart" uri="{C3380CC4-5D6E-409C-BE32-E72D297353CC}">
              <c16:uniqueId val="{00000002-5C82-43CD-8F21-B1CDFE0B69FC}"/>
            </c:ext>
          </c:extLst>
        </c:ser>
        <c:dLbls>
          <c:showLegendKey val="0"/>
          <c:showVal val="0"/>
          <c:showCatName val="0"/>
          <c:showSerName val="0"/>
          <c:showPercent val="0"/>
          <c:showBubbleSize val="0"/>
        </c:dLbls>
        <c:marker val="1"/>
        <c:smooth val="0"/>
        <c:axId val="1152208192"/>
        <c:axId val="1390199984"/>
      </c:lineChart>
      <c:catAx>
        <c:axId val="11457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35232"/>
        <c:crosses val="autoZero"/>
        <c:auto val="1"/>
        <c:lblAlgn val="ctr"/>
        <c:lblOffset val="100"/>
        <c:noMultiLvlLbl val="0"/>
      </c:catAx>
      <c:valAx>
        <c:axId val="114573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733520"/>
        <c:crosses val="autoZero"/>
        <c:crossBetween val="between"/>
      </c:valAx>
      <c:valAx>
        <c:axId val="1390199984"/>
        <c:scaling>
          <c:orientation val="minMax"/>
        </c:scaling>
        <c:delete val="0"/>
        <c:axPos val="r"/>
        <c:numFmt formatCode="0.00"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208192"/>
        <c:crosses val="max"/>
        <c:crossBetween val="between"/>
      </c:valAx>
      <c:catAx>
        <c:axId val="1152208192"/>
        <c:scaling>
          <c:orientation val="minMax"/>
        </c:scaling>
        <c:delete val="1"/>
        <c:axPos val="b"/>
        <c:majorTickMark val="out"/>
        <c:minorTickMark val="none"/>
        <c:tickLblPos val="nextTo"/>
        <c:crossAx val="13901999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INVENTORY</a:t>
            </a:r>
            <a:r>
              <a:rPr lang="en-GB" baseline="0"/>
              <a:t> T/O</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strRef>
              <c:f>'Efficiency Ratios'!$C$16</c:f>
              <c:strCache>
                <c:ptCount val="1"/>
                <c:pt idx="0">
                  <c:v>avg inventory</c:v>
                </c:pt>
              </c:strCache>
            </c:strRef>
          </c:tx>
          <c:spPr>
            <a:solidFill>
              <a:schemeClr val="accent3"/>
            </a:solidFill>
            <a:ln>
              <a:noFill/>
            </a:ln>
            <a:effectLst/>
          </c:spPr>
          <c:invertIfNegative val="0"/>
          <c:val>
            <c:numRef>
              <c:f>'Efficiency Ratios'!$C$17:$C$21</c:f>
              <c:numCache>
                <c:formatCode>General</c:formatCode>
                <c:ptCount val="5"/>
                <c:pt idx="0">
                  <c:v>19444</c:v>
                </c:pt>
                <c:pt idx="1">
                  <c:v>22083</c:v>
                </c:pt>
                <c:pt idx="2">
                  <c:v>27001</c:v>
                </c:pt>
                <c:pt idx="3">
                  <c:v>26915</c:v>
                </c:pt>
                <c:pt idx="4">
                  <c:v>25156</c:v>
                </c:pt>
              </c:numCache>
            </c:numRef>
          </c:val>
          <c:extLst>
            <c:ext xmlns:c16="http://schemas.microsoft.com/office/drawing/2014/chart" uri="{C3380CC4-5D6E-409C-BE32-E72D297353CC}">
              <c16:uniqueId val="{00000000-677E-430D-9861-A83F4347623A}"/>
            </c:ext>
          </c:extLst>
        </c:ser>
        <c:ser>
          <c:idx val="1"/>
          <c:order val="1"/>
          <c:tx>
            <c:strRef>
              <c:f>'Efficiency Ratios'!$B$16</c:f>
              <c:strCache>
                <c:ptCount val="1"/>
                <c:pt idx="0">
                  <c:v>cost of good sold</c:v>
                </c:pt>
              </c:strCache>
            </c:strRef>
          </c:tx>
          <c:spPr>
            <a:solidFill>
              <a:schemeClr val="accent2"/>
            </a:solidFill>
            <a:ln>
              <a:noFill/>
            </a:ln>
            <a:effectLst/>
          </c:spPr>
          <c:invertIfNegative val="0"/>
          <c:cat>
            <c:numRef>
              <c:f>'Efficiency Ratios'!$A$17:$A$21</c:f>
              <c:numCache>
                <c:formatCode>General</c:formatCode>
                <c:ptCount val="5"/>
                <c:pt idx="0">
                  <c:v>2020</c:v>
                </c:pt>
                <c:pt idx="1">
                  <c:v>2021</c:v>
                </c:pt>
                <c:pt idx="2">
                  <c:v>2022</c:v>
                </c:pt>
                <c:pt idx="3">
                  <c:v>2023</c:v>
                </c:pt>
                <c:pt idx="4">
                  <c:v>2024</c:v>
                </c:pt>
              </c:numCache>
            </c:numRef>
          </c:cat>
          <c:val>
            <c:numRef>
              <c:f>'Efficiency Ratios'!$B$17:$B$21</c:f>
              <c:numCache>
                <c:formatCode>General</c:formatCode>
                <c:ptCount val="5"/>
                <c:pt idx="0">
                  <c:v>42971</c:v>
                </c:pt>
                <c:pt idx="1">
                  <c:v>45468</c:v>
                </c:pt>
                <c:pt idx="2">
                  <c:v>51745</c:v>
                </c:pt>
                <c:pt idx="3">
                  <c:v>50328</c:v>
                </c:pt>
                <c:pt idx="4">
                  <c:v>48670</c:v>
                </c:pt>
              </c:numCache>
            </c:numRef>
          </c:val>
          <c:extLst>
            <c:ext xmlns:c16="http://schemas.microsoft.com/office/drawing/2014/chart" uri="{C3380CC4-5D6E-409C-BE32-E72D297353CC}">
              <c16:uniqueId val="{00000001-677E-430D-9861-A83F4347623A}"/>
            </c:ext>
          </c:extLst>
        </c:ser>
        <c:dLbls>
          <c:showLegendKey val="0"/>
          <c:showVal val="0"/>
          <c:showCatName val="0"/>
          <c:showSerName val="0"/>
          <c:showPercent val="0"/>
          <c:showBubbleSize val="0"/>
        </c:dLbls>
        <c:gapWidth val="150"/>
        <c:axId val="1145338144"/>
        <c:axId val="1145339856"/>
      </c:barChart>
      <c:lineChart>
        <c:grouping val="standard"/>
        <c:varyColors val="0"/>
        <c:ser>
          <c:idx val="3"/>
          <c:order val="2"/>
          <c:tx>
            <c:strRef>
              <c:f>'Efficiency Ratios'!$D$16</c:f>
              <c:strCache>
                <c:ptCount val="1"/>
                <c:pt idx="0">
                  <c:v>Inventory T/O Ratio</c:v>
                </c:pt>
              </c:strCache>
            </c:strRef>
          </c:tx>
          <c:spPr>
            <a:ln w="28575" cap="rnd">
              <a:solidFill>
                <a:schemeClr val="accent4"/>
              </a:solidFill>
              <a:round/>
            </a:ln>
            <a:effectLst/>
          </c:spPr>
          <c:marker>
            <c:symbol val="none"/>
          </c:marker>
          <c:val>
            <c:numRef>
              <c:f>'Efficiency Ratios'!$D$17:$D$21</c:f>
              <c:numCache>
                <c:formatCode>0.00</c:formatCode>
                <c:ptCount val="5"/>
                <c:pt idx="0">
                  <c:v>2.2099876568607284</c:v>
                </c:pt>
                <c:pt idx="1">
                  <c:v>2.0589593805189512</c:v>
                </c:pt>
                <c:pt idx="2">
                  <c:v>1.9164105033146921</c:v>
                </c:pt>
                <c:pt idx="3">
                  <c:v>1.8698866802898013</c:v>
                </c:pt>
                <c:pt idx="4">
                  <c:v>1.9347273016377802</c:v>
                </c:pt>
              </c:numCache>
            </c:numRef>
          </c:val>
          <c:smooth val="0"/>
          <c:extLst>
            <c:ext xmlns:c16="http://schemas.microsoft.com/office/drawing/2014/chart" uri="{C3380CC4-5D6E-409C-BE32-E72D297353CC}">
              <c16:uniqueId val="{00000002-677E-430D-9861-A83F4347623A}"/>
            </c:ext>
          </c:extLst>
        </c:ser>
        <c:dLbls>
          <c:showLegendKey val="0"/>
          <c:showVal val="0"/>
          <c:showCatName val="0"/>
          <c:showSerName val="0"/>
          <c:showPercent val="0"/>
          <c:showBubbleSize val="0"/>
        </c:dLbls>
        <c:marker val="1"/>
        <c:smooth val="0"/>
        <c:axId val="1993000576"/>
        <c:axId val="1993008736"/>
      </c:lineChart>
      <c:catAx>
        <c:axId val="11453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39856"/>
        <c:crosses val="autoZero"/>
        <c:auto val="1"/>
        <c:lblAlgn val="ctr"/>
        <c:lblOffset val="100"/>
        <c:noMultiLvlLbl val="0"/>
      </c:catAx>
      <c:valAx>
        <c:axId val="11453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38144"/>
        <c:crosses val="autoZero"/>
        <c:crossBetween val="between"/>
      </c:valAx>
      <c:valAx>
        <c:axId val="1993008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0576"/>
        <c:crosses val="max"/>
        <c:crossBetween val="between"/>
      </c:valAx>
      <c:catAx>
        <c:axId val="1993000576"/>
        <c:scaling>
          <c:orientation val="minMax"/>
        </c:scaling>
        <c:delete val="1"/>
        <c:axPos val="b"/>
        <c:majorTickMark val="out"/>
        <c:minorTickMark val="none"/>
        <c:tickLblPos val="nextTo"/>
        <c:crossAx val="1993008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Profitability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'Profitability Ratios'!$C$8</c:f>
              <c:strCache>
                <c:ptCount val="1"/>
                <c:pt idx="0">
                  <c:v>netsales</c:v>
                </c:pt>
              </c:strCache>
            </c:strRef>
          </c:tx>
          <c:spPr>
            <a:solidFill>
              <a:schemeClr val="accent6">
                <a:lumMod val="20000"/>
                <a:lumOff val="80000"/>
              </a:schemeClr>
            </a:solidFill>
            <a:ln>
              <a:noFill/>
            </a:ln>
            <a:effectLst/>
          </c:spPr>
          <c:invertIfNegative val="0"/>
          <c:cat>
            <c:numRef>
              <c:f>'Profitability Ratios'!$A$9:$A$13</c:f>
              <c:numCache>
                <c:formatCode>General</c:formatCode>
                <c:ptCount val="5"/>
                <c:pt idx="0">
                  <c:v>2020</c:v>
                </c:pt>
                <c:pt idx="1">
                  <c:v>2021</c:v>
                </c:pt>
                <c:pt idx="2">
                  <c:v>2022</c:v>
                </c:pt>
                <c:pt idx="3">
                  <c:v>2023</c:v>
                </c:pt>
                <c:pt idx="4">
                  <c:v>2024</c:v>
                </c:pt>
              </c:numCache>
            </c:numRef>
          </c:cat>
          <c:val>
            <c:numRef>
              <c:f>'Profitability Ratios'!$C$9:$C$13</c:f>
              <c:numCache>
                <c:formatCode>General</c:formatCode>
                <c:ptCount val="5"/>
                <c:pt idx="0">
                  <c:v>84343</c:v>
                </c:pt>
                <c:pt idx="1">
                  <c:v>87088</c:v>
                </c:pt>
                <c:pt idx="2">
                  <c:v>94424</c:v>
                </c:pt>
                <c:pt idx="3">
                  <c:v>92998</c:v>
                </c:pt>
                <c:pt idx="4">
                  <c:v>91354</c:v>
                </c:pt>
              </c:numCache>
            </c:numRef>
          </c:val>
          <c:extLst>
            <c:ext xmlns:c16="http://schemas.microsoft.com/office/drawing/2014/chart" uri="{C3380CC4-5D6E-409C-BE32-E72D297353CC}">
              <c16:uniqueId val="{00000000-9991-40E3-992D-CAABE3BECCD5}"/>
            </c:ext>
          </c:extLst>
        </c:ser>
        <c:dLbls>
          <c:showLegendKey val="0"/>
          <c:showVal val="0"/>
          <c:showCatName val="0"/>
          <c:showSerName val="0"/>
          <c:showPercent val="0"/>
          <c:showBubbleSize val="0"/>
        </c:dLbls>
        <c:gapWidth val="150"/>
        <c:axId val="167809808"/>
        <c:axId val="167810288"/>
        <c:extLst>
          <c:ext xmlns:c15="http://schemas.microsoft.com/office/drawing/2012/chart" uri="{02D57815-91ED-43cb-92C2-25804820EDAC}">
            <c15:filteredBarSeries>
              <c15:ser>
                <c:idx val="0"/>
                <c:order val="0"/>
                <c:tx>
                  <c:strRef>
                    <c:extLst>
                      <c:ext uri="{02D57815-91ED-43cb-92C2-25804820EDAC}">
                        <c15:formulaRef>
                          <c15:sqref>'Profitability Ratios'!$A$8</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'Profitability Ratios'!$A$9:$A$13</c15:sqref>
                        </c15:formulaRef>
                      </c:ext>
                    </c:extLst>
                    <c:numCache>
                      <c:formatCode>General</c:formatCode>
                      <c:ptCount val="5"/>
                      <c:pt idx="0">
                        <c:v>2020</c:v>
                      </c:pt>
                      <c:pt idx="1">
                        <c:v>2021</c:v>
                      </c:pt>
                      <c:pt idx="2">
                        <c:v>2022</c:v>
                      </c:pt>
                      <c:pt idx="3">
                        <c:v>2023</c:v>
                      </c:pt>
                      <c:pt idx="4">
                        <c:v>2024</c:v>
                      </c:pt>
                    </c:numCache>
                  </c:numRef>
                </c:cat>
                <c:val>
                  <c:numRef>
                    <c:extLst>
                      <c:ext uri="{02D57815-91ED-43cb-92C2-25804820EDAC}">
                        <c15:formulaRef>
                          <c15:sqref>'Profitability Ratios'!$A$9:$A$13</c15:sqref>
                        </c15:formulaRef>
                      </c:ext>
                    </c:extLst>
                    <c:numCache>
                      <c:formatCode>General</c:formatCode>
                      <c:ptCount val="5"/>
                      <c:pt idx="0">
                        <c:v>2020</c:v>
                      </c:pt>
                      <c:pt idx="1">
                        <c:v>2021</c:v>
                      </c:pt>
                      <c:pt idx="2">
                        <c:v>2022</c:v>
                      </c:pt>
                      <c:pt idx="3">
                        <c:v>2023</c:v>
                      </c:pt>
                      <c:pt idx="4">
                        <c:v>2024</c:v>
                      </c:pt>
                    </c:numCache>
                  </c:numRef>
                </c:val>
                <c:extLst>
                  <c:ext xmlns:c16="http://schemas.microsoft.com/office/drawing/2014/chart" uri="{C3380CC4-5D6E-409C-BE32-E72D297353CC}">
                    <c16:uniqueId val="{00000003-9991-40E3-992D-CAABE3BECCD5}"/>
                  </c:ext>
                </c:extLst>
              </c15:ser>
            </c15:filteredBarSeries>
          </c:ext>
        </c:extLst>
      </c:barChart>
      <c:lineChart>
        <c:grouping val="standard"/>
        <c:varyColors val="0"/>
        <c:ser>
          <c:idx val="2"/>
          <c:order val="2"/>
          <c:tx>
            <c:strRef>
              <c:f>'Profitability Ratios'!$D$8</c:f>
              <c:strCache>
                <c:ptCount val="1"/>
                <c:pt idx="0">
                  <c:v>GP </c:v>
                </c:pt>
              </c:strCache>
            </c:strRef>
          </c:tx>
          <c:spPr>
            <a:ln w="28575" cap="rnd">
              <a:solidFill>
                <a:sysClr val="windowText" lastClr="000000"/>
              </a:solidFill>
              <a:round/>
            </a:ln>
            <a:effectLst/>
          </c:spPr>
          <c:marker>
            <c:symbol val="none"/>
          </c:marker>
          <c:val>
            <c:numRef>
              <c:f>'Profitability Ratios'!$D$9:$D$13</c:f>
              <c:numCache>
                <c:formatCode>0.00%</c:formatCode>
                <c:ptCount val="5"/>
                <c:pt idx="0">
                  <c:v>0.16875140794138221</c:v>
                </c:pt>
                <c:pt idx="1">
                  <c:v>0.13961739849347787</c:v>
                </c:pt>
                <c:pt idx="2">
                  <c:v>0.13974201474201475</c:v>
                </c:pt>
                <c:pt idx="3">
                  <c:v>0.15613238994386977</c:v>
                </c:pt>
                <c:pt idx="4">
                  <c:v>0.16017908356503274</c:v>
                </c:pt>
              </c:numCache>
            </c:numRef>
          </c:val>
          <c:smooth val="0"/>
          <c:extLst>
            <c:ext xmlns:c16="http://schemas.microsoft.com/office/drawing/2014/chart" uri="{C3380CC4-5D6E-409C-BE32-E72D297353CC}">
              <c16:uniqueId val="{00000001-9991-40E3-992D-CAABE3BECCD5}"/>
            </c:ext>
          </c:extLst>
        </c:ser>
        <c:ser>
          <c:idx val="3"/>
          <c:order val="3"/>
          <c:tx>
            <c:strRef>
              <c:f>'Profitability Ratios'!$D$17</c:f>
              <c:strCache>
                <c:ptCount val="1"/>
                <c:pt idx="0">
                  <c:v>NP</c:v>
                </c:pt>
              </c:strCache>
            </c:strRef>
          </c:tx>
          <c:spPr>
            <a:ln w="28575" cap="rnd">
              <a:solidFill>
                <a:schemeClr val="accent4"/>
              </a:solidFill>
              <a:round/>
            </a:ln>
            <a:effectLst/>
          </c:spPr>
          <c:marker>
            <c:symbol val="none"/>
          </c:marker>
          <c:val>
            <c:numRef>
              <c:f>'Profitability Ratios'!$D$18:$D$22</c:f>
              <c:numCache>
                <c:formatCode>0.00%</c:formatCode>
                <c:ptCount val="5"/>
                <c:pt idx="0">
                  <c:v>0.14668674341676249</c:v>
                </c:pt>
                <c:pt idx="1">
                  <c:v>0.19745544736358625</c:v>
                </c:pt>
                <c:pt idx="2">
                  <c:v>0.10162670507498094</c:v>
                </c:pt>
                <c:pt idx="3">
                  <c:v>0.12375534957741027</c:v>
                </c:pt>
                <c:pt idx="4">
                  <c:v>0.12231538848873613</c:v>
                </c:pt>
              </c:numCache>
            </c:numRef>
          </c:val>
          <c:smooth val="0"/>
          <c:extLst>
            <c:ext xmlns:c16="http://schemas.microsoft.com/office/drawing/2014/chart" uri="{C3380CC4-5D6E-409C-BE32-E72D297353CC}">
              <c16:uniqueId val="{00000002-9991-40E3-992D-CAABE3BECCD5}"/>
            </c:ext>
          </c:extLst>
        </c:ser>
        <c:dLbls>
          <c:showLegendKey val="0"/>
          <c:showVal val="0"/>
          <c:showCatName val="0"/>
          <c:showSerName val="0"/>
          <c:showPercent val="0"/>
          <c:showBubbleSize val="0"/>
        </c:dLbls>
        <c:marker val="1"/>
        <c:smooth val="0"/>
        <c:axId val="167769968"/>
        <c:axId val="167766128"/>
      </c:lineChart>
      <c:catAx>
        <c:axId val="16780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10288"/>
        <c:crosses val="autoZero"/>
        <c:auto val="1"/>
        <c:lblAlgn val="ctr"/>
        <c:lblOffset val="100"/>
        <c:noMultiLvlLbl val="0"/>
      </c:catAx>
      <c:valAx>
        <c:axId val="16781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9808"/>
        <c:crosses val="autoZero"/>
        <c:crossBetween val="between"/>
      </c:valAx>
      <c:valAx>
        <c:axId val="1677661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69968"/>
        <c:crosses val="max"/>
        <c:crossBetween val="between"/>
      </c:valAx>
      <c:catAx>
        <c:axId val="167769968"/>
        <c:scaling>
          <c:orientation val="minMax"/>
        </c:scaling>
        <c:delete val="1"/>
        <c:axPos val="b"/>
        <c:majorTickMark val="out"/>
        <c:minorTickMark val="none"/>
        <c:tickLblPos val="nextTo"/>
        <c:crossAx val="167766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RETURN ON EQUITY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Returns!$B$9</c:f>
              <c:strCache>
                <c:ptCount val="1"/>
                <c:pt idx="0">
                  <c:v>Reurn to Shareholders</c:v>
                </c:pt>
              </c:strCache>
            </c:strRef>
          </c:tx>
          <c:spPr>
            <a:solidFill>
              <a:schemeClr val="accent2"/>
            </a:solidFill>
            <a:ln>
              <a:noFill/>
            </a:ln>
            <a:effectLst/>
          </c:spPr>
          <c:invertIfNegative val="0"/>
          <c:cat>
            <c:numRef>
              <c:f>Returns!$A$10:$A$14</c:f>
              <c:numCache>
                <c:formatCode>General</c:formatCode>
                <c:ptCount val="5"/>
                <c:pt idx="0">
                  <c:v>2020</c:v>
                </c:pt>
                <c:pt idx="1">
                  <c:v>2021</c:v>
                </c:pt>
                <c:pt idx="2">
                  <c:v>2022</c:v>
                </c:pt>
                <c:pt idx="3">
                  <c:v>2023</c:v>
                </c:pt>
                <c:pt idx="4">
                  <c:v>2024</c:v>
                </c:pt>
              </c:numCache>
            </c:numRef>
          </c:cat>
          <c:val>
            <c:numRef>
              <c:f>Returns!$B$10:$B$14</c:f>
              <c:numCache>
                <c:formatCode>General</c:formatCode>
                <c:ptCount val="5"/>
                <c:pt idx="0">
                  <c:v>12232</c:v>
                </c:pt>
                <c:pt idx="1">
                  <c:v>16905</c:v>
                </c:pt>
                <c:pt idx="2">
                  <c:v>9270</c:v>
                </c:pt>
                <c:pt idx="3">
                  <c:v>11209</c:v>
                </c:pt>
                <c:pt idx="4">
                  <c:v>10884</c:v>
                </c:pt>
              </c:numCache>
            </c:numRef>
          </c:val>
          <c:extLst>
            <c:ext xmlns:c16="http://schemas.microsoft.com/office/drawing/2014/chart" uri="{C3380CC4-5D6E-409C-BE32-E72D297353CC}">
              <c16:uniqueId val="{00000000-4C4F-48CC-A33B-5C34B0200124}"/>
            </c:ext>
          </c:extLst>
        </c:ser>
        <c:ser>
          <c:idx val="2"/>
          <c:order val="1"/>
          <c:tx>
            <c:strRef>
              <c:f>Returns!$C$9</c:f>
              <c:strCache>
                <c:ptCount val="1"/>
                <c:pt idx="0">
                  <c:v>share holders equity</c:v>
                </c:pt>
              </c:strCache>
            </c:strRef>
          </c:tx>
          <c:spPr>
            <a:solidFill>
              <a:schemeClr val="accent3"/>
            </a:solidFill>
            <a:ln>
              <a:noFill/>
            </a:ln>
            <a:effectLst/>
          </c:spPr>
          <c:invertIfNegative val="0"/>
          <c:cat>
            <c:numRef>
              <c:f>Returns!$A$10:$A$14</c:f>
              <c:numCache>
                <c:formatCode>General</c:formatCode>
                <c:ptCount val="5"/>
                <c:pt idx="0">
                  <c:v>2020</c:v>
                </c:pt>
                <c:pt idx="1">
                  <c:v>2021</c:v>
                </c:pt>
                <c:pt idx="2">
                  <c:v>2022</c:v>
                </c:pt>
                <c:pt idx="3">
                  <c:v>2023</c:v>
                </c:pt>
                <c:pt idx="4">
                  <c:v>2024</c:v>
                </c:pt>
              </c:numCache>
            </c:numRef>
          </c:cat>
          <c:val>
            <c:numRef>
              <c:f>Returns!$C$10:$C$14</c:f>
              <c:numCache>
                <c:formatCode>General</c:formatCode>
                <c:ptCount val="5"/>
                <c:pt idx="0">
                  <c:v>45695</c:v>
                </c:pt>
                <c:pt idx="1">
                  <c:v>53140</c:v>
                </c:pt>
                <c:pt idx="2">
                  <c:v>41982</c:v>
                </c:pt>
                <c:pt idx="3">
                  <c:v>35742</c:v>
                </c:pt>
                <c:pt idx="4">
                  <c:v>35917</c:v>
                </c:pt>
              </c:numCache>
            </c:numRef>
          </c:val>
          <c:extLst>
            <c:ext xmlns:c16="http://schemas.microsoft.com/office/drawing/2014/chart" uri="{C3380CC4-5D6E-409C-BE32-E72D297353CC}">
              <c16:uniqueId val="{00000001-4C4F-48CC-A33B-5C34B0200124}"/>
            </c:ext>
          </c:extLst>
        </c:ser>
        <c:dLbls>
          <c:showLegendKey val="0"/>
          <c:showVal val="0"/>
          <c:showCatName val="0"/>
          <c:showSerName val="0"/>
          <c:showPercent val="0"/>
          <c:showBubbleSize val="0"/>
        </c:dLbls>
        <c:gapWidth val="150"/>
        <c:axId val="259462192"/>
        <c:axId val="259809520"/>
      </c:barChart>
      <c:lineChart>
        <c:grouping val="standard"/>
        <c:varyColors val="0"/>
        <c:ser>
          <c:idx val="3"/>
          <c:order val="2"/>
          <c:tx>
            <c:strRef>
              <c:f>Returns!$D$9</c:f>
              <c:strCache>
                <c:ptCount val="1"/>
                <c:pt idx="0">
                  <c:v>ROE</c:v>
                </c:pt>
              </c:strCache>
            </c:strRef>
          </c:tx>
          <c:spPr>
            <a:ln w="28575" cap="rnd">
              <a:solidFill>
                <a:schemeClr val="accent4"/>
              </a:solidFill>
              <a:round/>
            </a:ln>
            <a:effectLst/>
          </c:spPr>
          <c:marker>
            <c:symbol val="none"/>
          </c:marker>
          <c:val>
            <c:numRef>
              <c:f>Returns!$D$10:$D$14</c:f>
              <c:numCache>
                <c:formatCode>0.00%</c:formatCode>
                <c:ptCount val="5"/>
                <c:pt idx="0">
                  <c:v>0.26768793084582559</c:v>
                </c:pt>
                <c:pt idx="1">
                  <c:v>0.31812194203989463</c:v>
                </c:pt>
                <c:pt idx="2">
                  <c:v>0.22080891810776046</c:v>
                </c:pt>
                <c:pt idx="3">
                  <c:v>0.31360863969559621</c:v>
                </c:pt>
                <c:pt idx="4">
                  <c:v>0.30303199042236267</c:v>
                </c:pt>
              </c:numCache>
            </c:numRef>
          </c:val>
          <c:smooth val="0"/>
          <c:extLst>
            <c:ext xmlns:c16="http://schemas.microsoft.com/office/drawing/2014/chart" uri="{C3380CC4-5D6E-409C-BE32-E72D297353CC}">
              <c16:uniqueId val="{00000002-4C4F-48CC-A33B-5C34B0200124}"/>
            </c:ext>
          </c:extLst>
        </c:ser>
        <c:dLbls>
          <c:showLegendKey val="0"/>
          <c:showVal val="0"/>
          <c:showCatName val="0"/>
          <c:showSerName val="0"/>
          <c:showPercent val="0"/>
          <c:showBubbleSize val="0"/>
        </c:dLbls>
        <c:marker val="1"/>
        <c:smooth val="0"/>
        <c:axId val="1992995776"/>
        <c:axId val="1993009216"/>
      </c:lineChart>
      <c:catAx>
        <c:axId val="2594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9520"/>
        <c:crosses val="autoZero"/>
        <c:auto val="1"/>
        <c:lblAlgn val="ctr"/>
        <c:lblOffset val="100"/>
        <c:noMultiLvlLbl val="0"/>
      </c:catAx>
      <c:valAx>
        <c:axId val="25980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462192"/>
        <c:crosses val="autoZero"/>
        <c:crossBetween val="between"/>
      </c:valAx>
      <c:valAx>
        <c:axId val="19930092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5776"/>
        <c:crosses val="max"/>
        <c:crossBetween val="between"/>
      </c:valAx>
      <c:catAx>
        <c:axId val="1992995776"/>
        <c:scaling>
          <c:orientation val="minMax"/>
        </c:scaling>
        <c:delete val="1"/>
        <c:axPos val="b"/>
        <c:majorTickMark val="out"/>
        <c:minorTickMark val="none"/>
        <c:tickLblPos val="nextTo"/>
        <c:crossAx val="19930092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RETURN ON CAPITAL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Returns!$B$17</c:f>
              <c:strCache>
                <c:ptCount val="1"/>
                <c:pt idx="0">
                  <c:v>operating profit </c:v>
                </c:pt>
              </c:strCache>
            </c:strRef>
          </c:tx>
          <c:spPr>
            <a:solidFill>
              <a:schemeClr val="accent2"/>
            </a:solidFill>
            <a:ln>
              <a:noFill/>
            </a:ln>
            <a:effectLst/>
          </c:spPr>
          <c:invertIfNegative val="0"/>
          <c:cat>
            <c:numRef>
              <c:f>Returns!$A$18:$A$22</c:f>
              <c:numCache>
                <c:formatCode>General</c:formatCode>
                <c:ptCount val="5"/>
                <c:pt idx="0">
                  <c:v>2020</c:v>
                </c:pt>
                <c:pt idx="1">
                  <c:v>2021</c:v>
                </c:pt>
                <c:pt idx="2">
                  <c:v>2022</c:v>
                </c:pt>
                <c:pt idx="3">
                  <c:v>2023</c:v>
                </c:pt>
                <c:pt idx="4">
                  <c:v>2024</c:v>
                </c:pt>
              </c:numCache>
            </c:numRef>
          </c:cat>
          <c:val>
            <c:numRef>
              <c:f>Returns!$B$18:$B$22</c:f>
              <c:numCache>
                <c:formatCode>General</c:formatCode>
                <c:ptCount val="5"/>
                <c:pt idx="0">
                  <c:v>14796</c:v>
                </c:pt>
                <c:pt idx="1">
                  <c:v>11679</c:v>
                </c:pt>
                <c:pt idx="2">
                  <c:v>12326</c:v>
                </c:pt>
                <c:pt idx="3">
                  <c:v>14063</c:v>
                </c:pt>
                <c:pt idx="4">
                  <c:v>14724</c:v>
                </c:pt>
              </c:numCache>
            </c:numRef>
          </c:val>
          <c:extLst>
            <c:ext xmlns:c16="http://schemas.microsoft.com/office/drawing/2014/chart" uri="{C3380CC4-5D6E-409C-BE32-E72D297353CC}">
              <c16:uniqueId val="{00000000-51B0-4BD2-9D8C-AD1EF3BA4CE2}"/>
            </c:ext>
          </c:extLst>
        </c:ser>
        <c:ser>
          <c:idx val="2"/>
          <c:order val="1"/>
          <c:tx>
            <c:strRef>
              <c:f>Returns!$C$17</c:f>
              <c:strCache>
                <c:ptCount val="1"/>
                <c:pt idx="0">
                  <c:v>cap employed</c:v>
                </c:pt>
              </c:strCache>
            </c:strRef>
          </c:tx>
          <c:spPr>
            <a:solidFill>
              <a:schemeClr val="accent3"/>
            </a:solidFill>
            <a:ln>
              <a:noFill/>
            </a:ln>
            <a:effectLst/>
          </c:spPr>
          <c:invertIfNegative val="0"/>
          <c:cat>
            <c:numRef>
              <c:f>Returns!$A$18:$A$22</c:f>
              <c:numCache>
                <c:formatCode>General</c:formatCode>
                <c:ptCount val="5"/>
                <c:pt idx="0">
                  <c:v>2020</c:v>
                </c:pt>
                <c:pt idx="1">
                  <c:v>2021</c:v>
                </c:pt>
                <c:pt idx="2">
                  <c:v>2022</c:v>
                </c:pt>
                <c:pt idx="3">
                  <c:v>2023</c:v>
                </c:pt>
                <c:pt idx="4">
                  <c:v>2024</c:v>
                </c:pt>
              </c:numCache>
            </c:numRef>
          </c:cat>
          <c:val>
            <c:numRef>
              <c:f>Returns!$C$18:$C$22</c:f>
              <c:numCache>
                <c:formatCode>General</c:formatCode>
                <c:ptCount val="5"/>
                <c:pt idx="0">
                  <c:v>84306</c:v>
                </c:pt>
                <c:pt idx="1">
                  <c:v>99122</c:v>
                </c:pt>
                <c:pt idx="2">
                  <c:v>95206</c:v>
                </c:pt>
                <c:pt idx="3">
                  <c:v>89466</c:v>
                </c:pt>
                <c:pt idx="4">
                  <c:v>96401</c:v>
                </c:pt>
              </c:numCache>
            </c:numRef>
          </c:val>
          <c:extLst>
            <c:ext xmlns:c16="http://schemas.microsoft.com/office/drawing/2014/chart" uri="{C3380CC4-5D6E-409C-BE32-E72D297353CC}">
              <c16:uniqueId val="{00000001-51B0-4BD2-9D8C-AD1EF3BA4CE2}"/>
            </c:ext>
          </c:extLst>
        </c:ser>
        <c:dLbls>
          <c:showLegendKey val="0"/>
          <c:showVal val="0"/>
          <c:showCatName val="0"/>
          <c:showSerName val="0"/>
          <c:showPercent val="0"/>
          <c:showBubbleSize val="0"/>
        </c:dLbls>
        <c:gapWidth val="150"/>
        <c:axId val="1146015328"/>
        <c:axId val="1146017040"/>
      </c:barChart>
      <c:lineChart>
        <c:grouping val="standard"/>
        <c:varyColors val="0"/>
        <c:ser>
          <c:idx val="3"/>
          <c:order val="2"/>
          <c:tx>
            <c:strRef>
              <c:f>Returns!$D$17</c:f>
              <c:strCache>
                <c:ptCount val="1"/>
                <c:pt idx="0">
                  <c:v>ROCE</c:v>
                </c:pt>
              </c:strCache>
            </c:strRef>
          </c:tx>
          <c:spPr>
            <a:ln w="28575" cap="rnd">
              <a:solidFill>
                <a:schemeClr val="accent4"/>
              </a:solidFill>
              <a:round/>
            </a:ln>
            <a:effectLst/>
          </c:spPr>
          <c:marker>
            <c:symbol val="none"/>
          </c:marker>
          <c:val>
            <c:numRef>
              <c:f>Returns!$D$18:$D$22</c:f>
              <c:numCache>
                <c:formatCode>0.00%</c:formatCode>
                <c:ptCount val="5"/>
                <c:pt idx="0">
                  <c:v>0.17550352288093374</c:v>
                </c:pt>
                <c:pt idx="1">
                  <c:v>0.11782449910211658</c:v>
                </c:pt>
                <c:pt idx="2">
                  <c:v>0.12946663025439573</c:v>
                </c:pt>
                <c:pt idx="3">
                  <c:v>0.15718820557530236</c:v>
                </c:pt>
                <c:pt idx="4">
                  <c:v>0.15273700480285474</c:v>
                </c:pt>
              </c:numCache>
            </c:numRef>
          </c:val>
          <c:smooth val="0"/>
          <c:extLst>
            <c:ext xmlns:c16="http://schemas.microsoft.com/office/drawing/2014/chart" uri="{C3380CC4-5D6E-409C-BE32-E72D297353CC}">
              <c16:uniqueId val="{00000002-51B0-4BD2-9D8C-AD1EF3BA4CE2}"/>
            </c:ext>
          </c:extLst>
        </c:ser>
        <c:dLbls>
          <c:showLegendKey val="0"/>
          <c:showVal val="0"/>
          <c:showCatName val="0"/>
          <c:showSerName val="0"/>
          <c:showPercent val="0"/>
          <c:showBubbleSize val="0"/>
        </c:dLbls>
        <c:marker val="1"/>
        <c:smooth val="0"/>
        <c:axId val="1992998176"/>
        <c:axId val="1993003456"/>
      </c:lineChart>
      <c:catAx>
        <c:axId val="1146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17040"/>
        <c:crosses val="autoZero"/>
        <c:auto val="1"/>
        <c:lblAlgn val="ctr"/>
        <c:lblOffset val="100"/>
        <c:noMultiLvlLbl val="0"/>
      </c:catAx>
      <c:valAx>
        <c:axId val="114601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15328"/>
        <c:crosses val="autoZero"/>
        <c:crossBetween val="between"/>
      </c:valAx>
      <c:valAx>
        <c:axId val="19930034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8176"/>
        <c:crosses val="max"/>
        <c:crossBetween val="between"/>
      </c:valAx>
      <c:catAx>
        <c:axId val="1992998176"/>
        <c:scaling>
          <c:orientation val="minMax"/>
        </c:scaling>
        <c:delete val="1"/>
        <c:axPos val="b"/>
        <c:majorTickMark val="out"/>
        <c:minorTickMark val="none"/>
        <c:tickLblPos val="nextTo"/>
        <c:crossAx val="19930034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RETURN</a:t>
            </a:r>
            <a:r>
              <a:rPr lang="en-GB" baseline="0"/>
              <a:t> ON ASSETS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1"/>
          <c:order val="0"/>
          <c:tx>
            <c:strRef>
              <c:f>Returns!$B$25</c:f>
              <c:strCache>
                <c:ptCount val="1"/>
                <c:pt idx="0">
                  <c:v>net profit</c:v>
                </c:pt>
              </c:strCache>
            </c:strRef>
          </c:tx>
          <c:spPr>
            <a:solidFill>
              <a:schemeClr val="accent2"/>
            </a:solidFill>
            <a:ln>
              <a:noFill/>
            </a:ln>
            <a:effectLst/>
          </c:spPr>
          <c:invertIfNegative val="0"/>
          <c:cat>
            <c:numRef>
              <c:f>Returns!$A$26:$A$30</c:f>
              <c:numCache>
                <c:formatCode>General</c:formatCode>
                <c:ptCount val="5"/>
                <c:pt idx="0">
                  <c:v>2020</c:v>
                </c:pt>
                <c:pt idx="1">
                  <c:v>2021</c:v>
                </c:pt>
                <c:pt idx="2">
                  <c:v>2022</c:v>
                </c:pt>
                <c:pt idx="3">
                  <c:v>2023</c:v>
                </c:pt>
                <c:pt idx="4">
                  <c:v>2024</c:v>
                </c:pt>
              </c:numCache>
            </c:numRef>
          </c:cat>
          <c:val>
            <c:numRef>
              <c:f>Returns!$B$26:$B$30</c:f>
              <c:numCache>
                <c:formatCode>General</c:formatCode>
                <c:ptCount val="5"/>
                <c:pt idx="0">
                  <c:v>12232</c:v>
                </c:pt>
                <c:pt idx="1">
                  <c:v>16905</c:v>
                </c:pt>
                <c:pt idx="2">
                  <c:v>9270</c:v>
                </c:pt>
                <c:pt idx="3">
                  <c:v>11209</c:v>
                </c:pt>
                <c:pt idx="4">
                  <c:v>10884</c:v>
                </c:pt>
              </c:numCache>
            </c:numRef>
          </c:val>
          <c:extLst>
            <c:ext xmlns:c16="http://schemas.microsoft.com/office/drawing/2014/chart" uri="{C3380CC4-5D6E-409C-BE32-E72D297353CC}">
              <c16:uniqueId val="{00000000-8B42-4BF5-8F3F-88EA7116C20B}"/>
            </c:ext>
          </c:extLst>
        </c:ser>
        <c:ser>
          <c:idx val="2"/>
          <c:order val="1"/>
          <c:tx>
            <c:strRef>
              <c:f>Returns!$C$25</c:f>
              <c:strCache>
                <c:ptCount val="1"/>
                <c:pt idx="0">
                  <c:v>total asset</c:v>
                </c:pt>
              </c:strCache>
            </c:strRef>
          </c:tx>
          <c:spPr>
            <a:solidFill>
              <a:schemeClr val="accent3"/>
            </a:solidFill>
            <a:ln>
              <a:noFill/>
            </a:ln>
            <a:effectLst/>
          </c:spPr>
          <c:invertIfNegative val="0"/>
          <c:cat>
            <c:numRef>
              <c:f>Returns!$A$26:$A$30</c:f>
              <c:numCache>
                <c:formatCode>General</c:formatCode>
                <c:ptCount val="5"/>
                <c:pt idx="0">
                  <c:v>2020</c:v>
                </c:pt>
                <c:pt idx="1">
                  <c:v>2021</c:v>
                </c:pt>
                <c:pt idx="2">
                  <c:v>2022</c:v>
                </c:pt>
                <c:pt idx="3">
                  <c:v>2023</c:v>
                </c:pt>
                <c:pt idx="4">
                  <c:v>2024</c:v>
                </c:pt>
              </c:numCache>
            </c:numRef>
          </c:cat>
          <c:val>
            <c:numRef>
              <c:f>Returns!$C$26:$C$30</c:f>
              <c:numCache>
                <c:formatCode>General</c:formatCode>
                <c:ptCount val="5"/>
                <c:pt idx="0">
                  <c:v>124028</c:v>
                </c:pt>
                <c:pt idx="1">
                  <c:v>139142</c:v>
                </c:pt>
                <c:pt idx="2">
                  <c:v>135182</c:v>
                </c:pt>
                <c:pt idx="3">
                  <c:v>126550</c:v>
                </c:pt>
                <c:pt idx="4">
                  <c:v>139264</c:v>
                </c:pt>
              </c:numCache>
            </c:numRef>
          </c:val>
          <c:extLst>
            <c:ext xmlns:c16="http://schemas.microsoft.com/office/drawing/2014/chart" uri="{C3380CC4-5D6E-409C-BE32-E72D297353CC}">
              <c16:uniqueId val="{00000001-8B42-4BF5-8F3F-88EA7116C20B}"/>
            </c:ext>
          </c:extLst>
        </c:ser>
        <c:dLbls>
          <c:showLegendKey val="0"/>
          <c:showVal val="0"/>
          <c:showCatName val="0"/>
          <c:showSerName val="0"/>
          <c:showPercent val="0"/>
          <c:showBubbleSize val="0"/>
        </c:dLbls>
        <c:gapWidth val="150"/>
        <c:axId val="1440145600"/>
        <c:axId val="1440147312"/>
      </c:barChart>
      <c:lineChart>
        <c:grouping val="standard"/>
        <c:varyColors val="0"/>
        <c:ser>
          <c:idx val="3"/>
          <c:order val="2"/>
          <c:tx>
            <c:strRef>
              <c:f>Returns!$D$25</c:f>
              <c:strCache>
                <c:ptCount val="1"/>
                <c:pt idx="0">
                  <c:v>ROA</c:v>
                </c:pt>
              </c:strCache>
            </c:strRef>
          </c:tx>
          <c:spPr>
            <a:ln w="28575" cap="rnd">
              <a:solidFill>
                <a:schemeClr val="accent4"/>
              </a:solidFill>
              <a:round/>
            </a:ln>
            <a:effectLst/>
          </c:spPr>
          <c:marker>
            <c:symbol val="none"/>
          </c:marker>
          <c:val>
            <c:numRef>
              <c:f>Returns!$D$26:$D$30</c:f>
              <c:numCache>
                <c:formatCode>0.00%</c:formatCode>
                <c:ptCount val="5"/>
                <c:pt idx="0">
                  <c:v>9.8622891605121429E-2</c:v>
                </c:pt>
                <c:pt idx="1">
                  <c:v>0.1214945882623507</c:v>
                </c:pt>
                <c:pt idx="2">
                  <c:v>6.8574218461037714E-2</c:v>
                </c:pt>
                <c:pt idx="3">
                  <c:v>8.857368629000395E-2</c:v>
                </c:pt>
                <c:pt idx="4">
                  <c:v>7.815372242647059E-2</c:v>
                </c:pt>
              </c:numCache>
            </c:numRef>
          </c:val>
          <c:smooth val="0"/>
          <c:extLst>
            <c:ext xmlns:c16="http://schemas.microsoft.com/office/drawing/2014/chart" uri="{C3380CC4-5D6E-409C-BE32-E72D297353CC}">
              <c16:uniqueId val="{00000002-8B42-4BF5-8F3F-88EA7116C20B}"/>
            </c:ext>
          </c:extLst>
        </c:ser>
        <c:dLbls>
          <c:showLegendKey val="0"/>
          <c:showVal val="0"/>
          <c:showCatName val="0"/>
          <c:showSerName val="0"/>
          <c:showPercent val="0"/>
          <c:showBubbleSize val="0"/>
        </c:dLbls>
        <c:marker val="1"/>
        <c:smooth val="0"/>
        <c:axId val="1993005376"/>
        <c:axId val="1993004416"/>
      </c:lineChart>
      <c:catAx>
        <c:axId val="144014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47312"/>
        <c:crosses val="autoZero"/>
        <c:auto val="1"/>
        <c:lblAlgn val="ctr"/>
        <c:lblOffset val="100"/>
        <c:noMultiLvlLbl val="0"/>
      </c:catAx>
      <c:valAx>
        <c:axId val="144014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145600"/>
        <c:crosses val="autoZero"/>
        <c:crossBetween val="between"/>
      </c:valAx>
      <c:valAx>
        <c:axId val="1993004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5376"/>
        <c:crosses val="max"/>
        <c:crossBetween val="between"/>
      </c:valAx>
      <c:catAx>
        <c:axId val="1993005376"/>
        <c:scaling>
          <c:orientation val="minMax"/>
        </c:scaling>
        <c:delete val="1"/>
        <c:axPos val="b"/>
        <c:majorTickMark val="out"/>
        <c:minorTickMark val="none"/>
        <c:tickLblPos val="nextTo"/>
        <c:crossAx val="1993004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EPS</a:t>
            </a:r>
            <a:r>
              <a:rPr lang="en-GB" baseline="0"/>
              <a:t> VS DPS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Valuation!$B$11</c:f>
              <c:strCache>
                <c:ptCount val="1"/>
                <c:pt idx="0">
                  <c:v>net profit SH</c:v>
                </c:pt>
              </c:strCache>
            </c:strRef>
          </c:tx>
          <c:spPr>
            <a:solidFill>
              <a:schemeClr val="tx2">
                <a:lumMod val="20000"/>
                <a:lumOff val="80000"/>
              </a:schemeClr>
            </a:solidFill>
            <a:ln>
              <a:solidFill>
                <a:schemeClr val="accent6"/>
              </a:solidFill>
            </a:ln>
            <a:effectLst/>
          </c:spPr>
          <c:invertIfNegative val="0"/>
          <c:cat>
            <c:numRef>
              <c:f>Valuation!$A$12:$A$16</c:f>
              <c:numCache>
                <c:formatCode>General</c:formatCode>
                <c:ptCount val="5"/>
                <c:pt idx="0">
                  <c:v>2020</c:v>
                </c:pt>
                <c:pt idx="1">
                  <c:v>2021</c:v>
                </c:pt>
                <c:pt idx="2">
                  <c:v>2022</c:v>
                </c:pt>
                <c:pt idx="3">
                  <c:v>2023</c:v>
                </c:pt>
                <c:pt idx="4">
                  <c:v>2024</c:v>
                </c:pt>
              </c:numCache>
            </c:numRef>
          </c:cat>
          <c:val>
            <c:numRef>
              <c:f>Valuation!$B$12:$B$16</c:f>
              <c:numCache>
                <c:formatCode>General</c:formatCode>
                <c:ptCount val="5"/>
                <c:pt idx="0">
                  <c:v>12232</c:v>
                </c:pt>
                <c:pt idx="1">
                  <c:v>16905</c:v>
                </c:pt>
                <c:pt idx="2">
                  <c:v>9270</c:v>
                </c:pt>
                <c:pt idx="3">
                  <c:v>11209</c:v>
                </c:pt>
                <c:pt idx="4">
                  <c:v>10884</c:v>
                </c:pt>
              </c:numCache>
            </c:numRef>
          </c:val>
          <c:extLst>
            <c:ext xmlns:c16="http://schemas.microsoft.com/office/drawing/2014/chart" uri="{C3380CC4-5D6E-409C-BE32-E72D297353CC}">
              <c16:uniqueId val="{00000000-FB71-41EB-A47A-6BA4D62AFF5F}"/>
            </c:ext>
          </c:extLst>
        </c:ser>
        <c:dLbls>
          <c:showLegendKey val="0"/>
          <c:showVal val="0"/>
          <c:showCatName val="0"/>
          <c:showSerName val="0"/>
          <c:showPercent val="0"/>
          <c:showBubbleSize val="0"/>
        </c:dLbls>
        <c:gapWidth val="219"/>
        <c:axId val="238746752"/>
        <c:axId val="238916640"/>
      </c:barChart>
      <c:lineChart>
        <c:grouping val="standard"/>
        <c:varyColors val="0"/>
        <c:ser>
          <c:idx val="2"/>
          <c:order val="1"/>
          <c:tx>
            <c:strRef>
              <c:f>Valuation!$D$11</c:f>
              <c:strCache>
                <c:ptCount val="1"/>
                <c:pt idx="0">
                  <c:v>EPS</c:v>
                </c:pt>
              </c:strCache>
            </c:strRef>
          </c:tx>
          <c:spPr>
            <a:ln w="28575" cap="rnd">
              <a:solidFill>
                <a:srgbClr val="FF0000"/>
              </a:solidFill>
              <a:round/>
            </a:ln>
            <a:effectLst/>
          </c:spPr>
          <c:marker>
            <c:symbol val="none"/>
          </c:marker>
          <c:val>
            <c:numRef>
              <c:f>Valuation!$D$12:$D$16</c:f>
              <c:numCache>
                <c:formatCode>0.00</c:formatCode>
                <c:ptCount val="5"/>
                <c:pt idx="0">
                  <c:v>4.2994727592267132</c:v>
                </c:pt>
                <c:pt idx="1">
                  <c:v>6.0569688283769256</c:v>
                </c:pt>
                <c:pt idx="2">
                  <c:v>3.4219269102990033</c:v>
                </c:pt>
                <c:pt idx="3">
                  <c:v>4.2330060422960729</c:v>
                </c:pt>
                <c:pt idx="4">
                  <c:v>4.1877645248172373</c:v>
                </c:pt>
              </c:numCache>
            </c:numRef>
          </c:val>
          <c:smooth val="0"/>
          <c:extLst>
            <c:ext xmlns:c16="http://schemas.microsoft.com/office/drawing/2014/chart" uri="{C3380CC4-5D6E-409C-BE32-E72D297353CC}">
              <c16:uniqueId val="{00000001-FB71-41EB-A47A-6BA4D62AFF5F}"/>
            </c:ext>
          </c:extLst>
        </c:ser>
        <c:ser>
          <c:idx val="3"/>
          <c:order val="2"/>
          <c:tx>
            <c:strRef>
              <c:f>Valuation!$E$11</c:f>
              <c:strCache>
                <c:ptCount val="1"/>
                <c:pt idx="0">
                  <c:v>DPS</c:v>
                </c:pt>
              </c:strCache>
            </c:strRef>
          </c:tx>
          <c:spPr>
            <a:ln w="28575" cap="rnd">
              <a:solidFill>
                <a:schemeClr val="tx1"/>
              </a:solidFill>
              <a:round/>
            </a:ln>
            <a:effectLst/>
          </c:spPr>
          <c:marker>
            <c:symbol val="none"/>
          </c:marker>
          <c:val>
            <c:numRef>
              <c:f>Valuation!$E$12:$E$16</c:f>
              <c:numCache>
                <c:formatCode>General</c:formatCode>
                <c:ptCount val="5"/>
                <c:pt idx="0">
                  <c:v>2.75</c:v>
                </c:pt>
                <c:pt idx="1">
                  <c:v>2.8</c:v>
                </c:pt>
                <c:pt idx="2">
                  <c:v>2.95</c:v>
                </c:pt>
                <c:pt idx="3" formatCode="0.00">
                  <c:v>3</c:v>
                </c:pt>
                <c:pt idx="4">
                  <c:v>3.05</c:v>
                </c:pt>
              </c:numCache>
            </c:numRef>
          </c:val>
          <c:smooth val="0"/>
          <c:extLst>
            <c:ext xmlns:c16="http://schemas.microsoft.com/office/drawing/2014/chart" uri="{C3380CC4-5D6E-409C-BE32-E72D297353CC}">
              <c16:uniqueId val="{00000002-FB71-41EB-A47A-6BA4D62AFF5F}"/>
            </c:ext>
          </c:extLst>
        </c:ser>
        <c:dLbls>
          <c:showLegendKey val="0"/>
          <c:showVal val="0"/>
          <c:showCatName val="0"/>
          <c:showSerName val="0"/>
          <c:showPercent val="0"/>
          <c:showBubbleSize val="0"/>
        </c:dLbls>
        <c:marker val="1"/>
        <c:smooth val="0"/>
        <c:axId val="1675276112"/>
        <c:axId val="1675344288"/>
      </c:lineChart>
      <c:catAx>
        <c:axId val="23874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16640"/>
        <c:crosses val="autoZero"/>
        <c:auto val="1"/>
        <c:lblAlgn val="ctr"/>
        <c:lblOffset val="100"/>
        <c:noMultiLvlLbl val="0"/>
      </c:catAx>
      <c:valAx>
        <c:axId val="2389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746752"/>
        <c:crosses val="autoZero"/>
        <c:crossBetween val="between"/>
      </c:valAx>
      <c:valAx>
        <c:axId val="1675344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76112"/>
        <c:crosses val="max"/>
        <c:crossBetween val="between"/>
      </c:valAx>
      <c:catAx>
        <c:axId val="1675276112"/>
        <c:scaling>
          <c:orientation val="minMax"/>
        </c:scaling>
        <c:delete val="1"/>
        <c:axPos val="b"/>
        <c:majorTickMark val="out"/>
        <c:minorTickMark val="none"/>
        <c:tickLblPos val="nextTo"/>
        <c:crossAx val="1675344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957580</xdr:colOff>
      <xdr:row>20</xdr:row>
      <xdr:rowOff>82550</xdr:rowOff>
    </xdr:from>
    <xdr:to>
      <xdr:col>10</xdr:col>
      <xdr:colOff>355600</xdr:colOff>
      <xdr:row>35</xdr:row>
      <xdr:rowOff>152400</xdr:rowOff>
    </xdr:to>
    <xdr:graphicFrame macro="">
      <xdr:nvGraphicFramePr>
        <xdr:cNvPr id="5" name="Chart 4">
          <a:extLst>
            <a:ext uri="{FF2B5EF4-FFF2-40B4-BE49-F238E27FC236}">
              <a16:creationId xmlns:a16="http://schemas.microsoft.com/office/drawing/2014/main" id="{08CE7609-12B2-404A-AC3C-38EAAB9D3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38</xdr:row>
      <xdr:rowOff>0</xdr:rowOff>
    </xdr:from>
    <xdr:to>
      <xdr:col>10</xdr:col>
      <xdr:colOff>508000</xdr:colOff>
      <xdr:row>47</xdr:row>
      <xdr:rowOff>165100</xdr:rowOff>
    </xdr:to>
    <xdr:graphicFrame macro="">
      <xdr:nvGraphicFramePr>
        <xdr:cNvPr id="6" name="Chart 5">
          <a:extLst>
            <a:ext uri="{FF2B5EF4-FFF2-40B4-BE49-F238E27FC236}">
              <a16:creationId xmlns:a16="http://schemas.microsoft.com/office/drawing/2014/main" id="{31B848B8-A3E6-49A8-A9C9-472F0ABF3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226218</xdr:colOff>
      <xdr:row>39</xdr:row>
      <xdr:rowOff>110649</xdr:rowOff>
    </xdr:from>
    <xdr:to>
      <xdr:col>16</xdr:col>
      <xdr:colOff>452438</xdr:colOff>
      <xdr:row>50</xdr:row>
      <xdr:rowOff>162242</xdr:rowOff>
    </xdr:to>
    <xdr:graphicFrame macro="">
      <xdr:nvGraphicFramePr>
        <xdr:cNvPr id="7" name="Chart 6">
          <a:extLst>
            <a:ext uri="{FF2B5EF4-FFF2-40B4-BE49-F238E27FC236}">
              <a16:creationId xmlns:a16="http://schemas.microsoft.com/office/drawing/2014/main" id="{1B1885B5-67C9-4CC8-836E-D572854E6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xdr:colOff>
      <xdr:row>70</xdr:row>
      <xdr:rowOff>114300</xdr:rowOff>
    </xdr:from>
    <xdr:to>
      <xdr:col>10</xdr:col>
      <xdr:colOff>558800</xdr:colOff>
      <xdr:row>79</xdr:row>
      <xdr:rowOff>139700</xdr:rowOff>
    </xdr:to>
    <xdr:graphicFrame macro="">
      <xdr:nvGraphicFramePr>
        <xdr:cNvPr id="10" name="Chart 9">
          <a:extLst>
            <a:ext uri="{FF2B5EF4-FFF2-40B4-BE49-F238E27FC236}">
              <a16:creationId xmlns:a16="http://schemas.microsoft.com/office/drawing/2014/main" id="{918197F0-E1E0-4F55-A4EB-4D2371851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204152</xdr:colOff>
      <xdr:row>73</xdr:row>
      <xdr:rowOff>11113</xdr:rowOff>
    </xdr:from>
    <xdr:to>
      <xdr:col>17</xdr:col>
      <xdr:colOff>430372</xdr:colOff>
      <xdr:row>84</xdr:row>
      <xdr:rowOff>61912</xdr:rowOff>
    </xdr:to>
    <xdr:graphicFrame macro="">
      <xdr:nvGraphicFramePr>
        <xdr:cNvPr id="11" name="Chart 10">
          <a:extLst>
            <a:ext uri="{FF2B5EF4-FFF2-40B4-BE49-F238E27FC236}">
              <a16:creationId xmlns:a16="http://schemas.microsoft.com/office/drawing/2014/main" id="{9698B04A-D710-4E43-92BD-3D4BC5973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279400</xdr:colOff>
      <xdr:row>86</xdr:row>
      <xdr:rowOff>25400</xdr:rowOff>
    </xdr:from>
    <xdr:to>
      <xdr:col>10</xdr:col>
      <xdr:colOff>177800</xdr:colOff>
      <xdr:row>95</xdr:row>
      <xdr:rowOff>127000</xdr:rowOff>
    </xdr:to>
    <xdr:graphicFrame macro="">
      <xdr:nvGraphicFramePr>
        <xdr:cNvPr id="12" name="Chart 11">
          <a:extLst>
            <a:ext uri="{FF2B5EF4-FFF2-40B4-BE49-F238E27FC236}">
              <a16:creationId xmlns:a16="http://schemas.microsoft.com/office/drawing/2014/main" id="{BB034926-6F1A-428D-94E4-9E901F764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71120</xdr:colOff>
      <xdr:row>98</xdr:row>
      <xdr:rowOff>168662</xdr:rowOff>
    </xdr:from>
    <xdr:to>
      <xdr:col>15</xdr:col>
      <xdr:colOff>435770</xdr:colOff>
      <xdr:row>118</xdr:row>
      <xdr:rowOff>152399</xdr:rowOff>
    </xdr:to>
    <xdr:graphicFrame macro="">
      <xdr:nvGraphicFramePr>
        <xdr:cNvPr id="24" name="Chart 23">
          <a:extLst>
            <a:ext uri="{FF2B5EF4-FFF2-40B4-BE49-F238E27FC236}">
              <a16:creationId xmlns:a16="http://schemas.microsoft.com/office/drawing/2014/main" id="{FBA70A74-5C35-F00A-EA48-C5D88F14A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20320</xdr:colOff>
      <xdr:row>119</xdr:row>
      <xdr:rowOff>121920</xdr:rowOff>
    </xdr:from>
    <xdr:to>
      <xdr:col>20</xdr:col>
      <xdr:colOff>20320</xdr:colOff>
      <xdr:row>142</xdr:row>
      <xdr:rowOff>142240</xdr:rowOff>
    </xdr:to>
    <xdr:graphicFrame macro="">
      <xdr:nvGraphicFramePr>
        <xdr:cNvPr id="13" name="Chart 12">
          <a:extLst>
            <a:ext uri="{FF2B5EF4-FFF2-40B4-BE49-F238E27FC236}">
              <a16:creationId xmlns:a16="http://schemas.microsoft.com/office/drawing/2014/main" id="{735AB1EF-61B4-EE74-0870-34655D5FB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325120</xdr:colOff>
      <xdr:row>0</xdr:row>
      <xdr:rowOff>152400</xdr:rowOff>
    </xdr:from>
    <xdr:to>
      <xdr:col>21</xdr:col>
      <xdr:colOff>375920</xdr:colOff>
      <xdr:row>20</xdr:row>
      <xdr:rowOff>50800</xdr:rowOff>
    </xdr:to>
    <xdr:graphicFrame macro="">
      <xdr:nvGraphicFramePr>
        <xdr:cNvPr id="23" name="Chart 22">
          <a:extLst>
            <a:ext uri="{FF2B5EF4-FFF2-40B4-BE49-F238E27FC236}">
              <a16:creationId xmlns:a16="http://schemas.microsoft.com/office/drawing/2014/main" id="{797E8387-9DB0-15C8-31F7-6471B2CCD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325120</xdr:colOff>
      <xdr:row>49</xdr:row>
      <xdr:rowOff>172720</xdr:rowOff>
    </xdr:from>
    <xdr:to>
      <xdr:col>15</xdr:col>
      <xdr:colOff>406400</xdr:colOff>
      <xdr:row>68</xdr:row>
      <xdr:rowOff>142240</xdr:rowOff>
    </xdr:to>
    <xdr:graphicFrame macro="">
      <xdr:nvGraphicFramePr>
        <xdr:cNvPr id="25" name="Chart 24">
          <a:extLst>
            <a:ext uri="{FF2B5EF4-FFF2-40B4-BE49-F238E27FC236}">
              <a16:creationId xmlns:a16="http://schemas.microsoft.com/office/drawing/2014/main" id="{A398C134-FFB8-3FF7-5150-9E135398B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152400</xdr:colOff>
      <xdr:row>1</xdr:row>
      <xdr:rowOff>91440</xdr:rowOff>
    </xdr:from>
    <xdr:to>
      <xdr:col>18</xdr:col>
      <xdr:colOff>335280</xdr:colOff>
      <xdr:row>6</xdr:row>
      <xdr:rowOff>30480</xdr:rowOff>
    </xdr:to>
    <xdr:graphicFrame macro="">
      <xdr:nvGraphicFramePr>
        <xdr:cNvPr id="2" name="Chart 1">
          <a:extLst>
            <a:ext uri="{FF2B5EF4-FFF2-40B4-BE49-F238E27FC236}">
              <a16:creationId xmlns:a16="http://schemas.microsoft.com/office/drawing/2014/main" id="{5DA5FAEE-2938-4985-9697-6C6E17F2A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728766</xdr:colOff>
      <xdr:row>3</xdr:row>
      <xdr:rowOff>167140</xdr:rowOff>
    </xdr:from>
    <xdr:to>
      <xdr:col>11</xdr:col>
      <xdr:colOff>388620</xdr:colOff>
      <xdr:row>17</xdr:row>
      <xdr:rowOff>15240</xdr:rowOff>
    </xdr:to>
    <xdr:graphicFrame macro="">
      <xdr:nvGraphicFramePr>
        <xdr:cNvPr id="2" name="Chart 1">
          <a:extLst>
            <a:ext uri="{FF2B5EF4-FFF2-40B4-BE49-F238E27FC236}">
              <a16:creationId xmlns:a16="http://schemas.microsoft.com/office/drawing/2014/main" id="{2309481C-2357-466D-A089-996E98919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352014</xdr:colOff>
      <xdr:row>6</xdr:row>
      <xdr:rowOff>176306</xdr:rowOff>
    </xdr:from>
    <xdr:to>
      <xdr:col>14</xdr:col>
      <xdr:colOff>540572</xdr:colOff>
      <xdr:row>30</xdr:row>
      <xdr:rowOff>17332</xdr:rowOff>
    </xdr:to>
    <xdr:graphicFrame macro="">
      <xdr:nvGraphicFramePr>
        <xdr:cNvPr id="9" name="Chart 8">
          <a:extLst>
            <a:ext uri="{FF2B5EF4-FFF2-40B4-BE49-F238E27FC236}">
              <a16:creationId xmlns:a16="http://schemas.microsoft.com/office/drawing/2014/main" id="{A43671C7-A1EB-4C3B-AD1A-9142A58DC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482916</xdr:colOff>
      <xdr:row>6</xdr:row>
      <xdr:rowOff>298133</xdr:rowOff>
    </xdr:from>
    <xdr:to>
      <xdr:col>10</xdr:col>
      <xdr:colOff>246062</xdr:colOff>
      <xdr:row>22</xdr:row>
      <xdr:rowOff>7938</xdr:rowOff>
    </xdr:to>
    <xdr:graphicFrame macro="">
      <xdr:nvGraphicFramePr>
        <xdr:cNvPr id="3" name="Chart 2">
          <a:extLst>
            <a:ext uri="{FF2B5EF4-FFF2-40B4-BE49-F238E27FC236}">
              <a16:creationId xmlns:a16="http://schemas.microsoft.com/office/drawing/2014/main" id="{C1659403-557A-43D1-9D11-93D8FCB1E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44132</xdr:colOff>
      <xdr:row>6</xdr:row>
      <xdr:rowOff>331628</xdr:rowOff>
    </xdr:from>
    <xdr:to>
      <xdr:col>18</xdr:col>
      <xdr:colOff>403542</xdr:colOff>
      <xdr:row>23</xdr:row>
      <xdr:rowOff>0</xdr:rowOff>
    </xdr:to>
    <xdr:graphicFrame macro="">
      <xdr:nvGraphicFramePr>
        <xdr:cNvPr id="4" name="Chart 3">
          <a:extLst>
            <a:ext uri="{FF2B5EF4-FFF2-40B4-BE49-F238E27FC236}">
              <a16:creationId xmlns:a16="http://schemas.microsoft.com/office/drawing/2014/main" id="{DEEAB426-D472-43F3-84DB-5D3B918C8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117302</xdr:colOff>
      <xdr:row>5</xdr:row>
      <xdr:rowOff>23089</xdr:rowOff>
    </xdr:from>
    <xdr:to>
      <xdr:col>15</xdr:col>
      <xdr:colOff>198582</xdr:colOff>
      <xdr:row>27</xdr:row>
      <xdr:rowOff>165330</xdr:rowOff>
    </xdr:to>
    <xdr:graphicFrame macro="">
      <xdr:nvGraphicFramePr>
        <xdr:cNvPr id="11" name="Chart 10">
          <a:extLst>
            <a:ext uri="{FF2B5EF4-FFF2-40B4-BE49-F238E27FC236}">
              <a16:creationId xmlns:a16="http://schemas.microsoft.com/office/drawing/2014/main" id="{895B1CAA-4D8C-4CC9-857B-201124EB4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564188</xdr:colOff>
      <xdr:row>9</xdr:row>
      <xdr:rowOff>29634</xdr:rowOff>
    </xdr:from>
    <xdr:to>
      <xdr:col>9</xdr:col>
      <xdr:colOff>581891</xdr:colOff>
      <xdr:row>20</xdr:row>
      <xdr:rowOff>55034</xdr:rowOff>
    </xdr:to>
    <xdr:graphicFrame macro="">
      <xdr:nvGraphicFramePr>
        <xdr:cNvPr id="5" name="Chart 4">
          <a:extLst>
            <a:ext uri="{FF2B5EF4-FFF2-40B4-BE49-F238E27FC236}">
              <a16:creationId xmlns:a16="http://schemas.microsoft.com/office/drawing/2014/main" id="{129B21F0-215D-4C93-9F8C-0730142B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4031</xdr:colOff>
      <xdr:row>8</xdr:row>
      <xdr:rowOff>41901</xdr:rowOff>
    </xdr:from>
    <xdr:to>
      <xdr:col>17</xdr:col>
      <xdr:colOff>230251</xdr:colOff>
      <xdr:row>19</xdr:row>
      <xdr:rowOff>92700</xdr:rowOff>
    </xdr:to>
    <xdr:graphicFrame macro="">
      <xdr:nvGraphicFramePr>
        <xdr:cNvPr id="6" name="Chart 5">
          <a:extLst>
            <a:ext uri="{FF2B5EF4-FFF2-40B4-BE49-F238E27FC236}">
              <a16:creationId xmlns:a16="http://schemas.microsoft.com/office/drawing/2014/main" id="{3EF2471D-B14F-4588-9619-6B8B7D237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279400</xdr:colOff>
      <xdr:row>22</xdr:row>
      <xdr:rowOff>25400</xdr:rowOff>
    </xdr:from>
    <xdr:to>
      <xdr:col>10</xdr:col>
      <xdr:colOff>177800</xdr:colOff>
      <xdr:row>31</xdr:row>
      <xdr:rowOff>127000</xdr:rowOff>
    </xdr:to>
    <xdr:graphicFrame macro="">
      <xdr:nvGraphicFramePr>
        <xdr:cNvPr id="7" name="Chart 6">
          <a:extLst>
            <a:ext uri="{FF2B5EF4-FFF2-40B4-BE49-F238E27FC236}">
              <a16:creationId xmlns:a16="http://schemas.microsoft.com/office/drawing/2014/main" id="{3DB30762-2DB8-4311-8527-7821550F5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7775</xdr:colOff>
      <xdr:row>10</xdr:row>
      <xdr:rowOff>7776</xdr:rowOff>
    </xdr:from>
    <xdr:to>
      <xdr:col>16</xdr:col>
      <xdr:colOff>233265</xdr:colOff>
      <xdr:row>21</xdr:row>
      <xdr:rowOff>132183</xdr:rowOff>
    </xdr:to>
    <xdr:graphicFrame macro="">
      <xdr:nvGraphicFramePr>
        <xdr:cNvPr id="8" name="Chart 7">
          <a:extLst>
            <a:ext uri="{FF2B5EF4-FFF2-40B4-BE49-F238E27FC236}">
              <a16:creationId xmlns:a16="http://schemas.microsoft.com/office/drawing/2014/main" id="{E4530456-5973-4CB0-B642-FD381717D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estle.com/investors/shares-adrs/divide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73"/>
  <sheetViews>
    <sheetView tabSelected="1" zoomScaleNormal="100" workbookViewId="0">
      <selection activeCell="A3" sqref="A3:XFD3"/>
    </sheetView>
  </sheetViews>
  <sheetFormatPr defaultColWidth="8.77734375" defaultRowHeight="14.4" x14ac:dyDescent="0.3"/>
  <cols>
    <col min="1" max="1" width="3.33203125" customWidth="1"/>
    <col min="2" max="2" width="47.44140625" bestFit="1" customWidth="1"/>
    <col min="3" max="3" width="10.77734375" bestFit="1" customWidth="1"/>
    <col min="9" max="9" width="18.33203125" bestFit="1" customWidth="1"/>
  </cols>
  <sheetData>
    <row r="1" spans="1:11" ht="14.4" customHeight="1" x14ac:dyDescent="0.3">
      <c r="A1" s="73" t="s">
        <v>279</v>
      </c>
      <c r="B1" s="73"/>
      <c r="C1" s="73"/>
      <c r="D1" s="73"/>
      <c r="E1" s="73"/>
      <c r="F1" s="73"/>
      <c r="G1" s="73"/>
      <c r="H1" s="73"/>
      <c r="I1" s="2"/>
      <c r="J1" s="2"/>
      <c r="K1" s="2"/>
    </row>
    <row r="2" spans="1:11" x14ac:dyDescent="0.3">
      <c r="A2" s="73"/>
      <c r="B2" s="73"/>
      <c r="C2" s="73"/>
      <c r="D2" s="73"/>
      <c r="E2" s="73"/>
      <c r="F2" s="73"/>
      <c r="G2" s="73"/>
      <c r="H2" s="73"/>
      <c r="I2" s="2"/>
      <c r="J2" s="2"/>
      <c r="K2" s="2"/>
    </row>
    <row r="3" spans="1:11" x14ac:dyDescent="0.3">
      <c r="A3" s="74"/>
      <c r="B3" s="74"/>
      <c r="C3" s="74"/>
      <c r="D3" s="74"/>
      <c r="E3" s="74"/>
      <c r="F3" s="74"/>
      <c r="G3" s="74"/>
      <c r="H3" s="74"/>
      <c r="I3" s="2"/>
      <c r="J3" s="2"/>
      <c r="K3" s="2"/>
    </row>
    <row r="4" spans="1:11" s="1" customFormat="1" x14ac:dyDescent="0.3">
      <c r="A4" s="1" t="s">
        <v>1</v>
      </c>
      <c r="C4" s="1">
        <v>2024</v>
      </c>
      <c r="D4" s="1">
        <v>2023</v>
      </c>
      <c r="E4" s="1">
        <v>2022</v>
      </c>
      <c r="F4" s="1">
        <v>2021</v>
      </c>
      <c r="G4" s="1">
        <v>2020</v>
      </c>
      <c r="H4" s="1">
        <v>2019</v>
      </c>
    </row>
    <row r="6" spans="1:11" x14ac:dyDescent="0.3">
      <c r="A6" s="1" t="s">
        <v>2</v>
      </c>
    </row>
    <row r="7" spans="1:11" x14ac:dyDescent="0.3">
      <c r="B7" s="1" t="s">
        <v>3</v>
      </c>
    </row>
    <row r="8" spans="1:11" x14ac:dyDescent="0.3">
      <c r="B8" t="s">
        <v>4</v>
      </c>
      <c r="C8" s="6">
        <v>5556</v>
      </c>
      <c r="D8" s="6">
        <v>4816</v>
      </c>
      <c r="E8" s="13">
        <v>5511</v>
      </c>
      <c r="F8" s="13">
        <v>6988</v>
      </c>
      <c r="G8" s="13">
        <v>5235</v>
      </c>
      <c r="H8" s="13">
        <v>7469</v>
      </c>
    </row>
    <row r="9" spans="1:11" x14ac:dyDescent="0.3">
      <c r="B9" t="s">
        <v>7</v>
      </c>
      <c r="C9" s="6">
        <v>2315</v>
      </c>
      <c r="D9" s="6">
        <v>1035</v>
      </c>
      <c r="E9" s="13">
        <v>1176</v>
      </c>
      <c r="F9" s="13">
        <v>7007</v>
      </c>
      <c r="G9" s="13">
        <v>3374</v>
      </c>
      <c r="H9" s="13">
        <v>2794</v>
      </c>
    </row>
    <row r="10" spans="1:11" x14ac:dyDescent="0.3">
      <c r="B10" t="s">
        <v>5</v>
      </c>
      <c r="C10" s="6">
        <v>13260</v>
      </c>
      <c r="D10" s="6">
        <v>11896</v>
      </c>
      <c r="E10" s="13">
        <v>15019</v>
      </c>
      <c r="F10" s="13">
        <v>11982</v>
      </c>
      <c r="G10" s="13">
        <v>10101</v>
      </c>
      <c r="H10" s="13">
        <v>9343</v>
      </c>
      <c r="J10" s="13"/>
    </row>
    <row r="11" spans="1:11" x14ac:dyDescent="0.3">
      <c r="B11" t="s">
        <v>6</v>
      </c>
      <c r="C11" s="6">
        <v>11251</v>
      </c>
      <c r="D11" s="6">
        <v>10995</v>
      </c>
      <c r="E11" s="13">
        <v>11116</v>
      </c>
      <c r="F11" s="13">
        <v>11155</v>
      </c>
      <c r="G11" s="13">
        <v>10746</v>
      </c>
      <c r="H11" s="13">
        <v>11766</v>
      </c>
    </row>
    <row r="12" spans="1:11" x14ac:dyDescent="0.3">
      <c r="B12" t="s">
        <v>8</v>
      </c>
      <c r="C12" s="6">
        <v>543</v>
      </c>
      <c r="D12" s="6">
        <v>521</v>
      </c>
      <c r="E12" s="13">
        <v>549</v>
      </c>
      <c r="F12" s="13">
        <v>575</v>
      </c>
      <c r="G12" s="13">
        <v>477</v>
      </c>
      <c r="H12" s="13">
        <v>498</v>
      </c>
    </row>
    <row r="13" spans="1:11" x14ac:dyDescent="0.3">
      <c r="B13" t="s">
        <v>9</v>
      </c>
      <c r="C13" s="6">
        <v>792</v>
      </c>
      <c r="D13" s="6">
        <v>278</v>
      </c>
      <c r="E13" s="13">
        <v>309</v>
      </c>
      <c r="F13" s="13">
        <v>278</v>
      </c>
      <c r="G13" s="13">
        <v>310</v>
      </c>
      <c r="H13" s="13">
        <v>254</v>
      </c>
    </row>
    <row r="14" spans="1:11" x14ac:dyDescent="0.3">
      <c r="B14" t="s">
        <v>10</v>
      </c>
      <c r="C14" s="6">
        <v>1334</v>
      </c>
      <c r="D14" s="6">
        <v>1284</v>
      </c>
      <c r="E14" s="13">
        <v>1285</v>
      </c>
      <c r="F14" s="13">
        <v>1204</v>
      </c>
      <c r="G14" s="13">
        <v>708</v>
      </c>
      <c r="H14" s="13">
        <v>768</v>
      </c>
    </row>
    <row r="15" spans="1:11" x14ac:dyDescent="0.3">
      <c r="B15" t="s">
        <v>11</v>
      </c>
      <c r="C15" s="6">
        <v>137</v>
      </c>
      <c r="D15" s="6">
        <v>32</v>
      </c>
      <c r="E15" s="13">
        <v>97</v>
      </c>
      <c r="F15" s="13">
        <v>68</v>
      </c>
      <c r="G15" s="13">
        <v>3117</v>
      </c>
      <c r="H15" s="13">
        <v>2771</v>
      </c>
    </row>
    <row r="16" spans="1:11" x14ac:dyDescent="0.3">
      <c r="B16" s="1" t="s">
        <v>12</v>
      </c>
      <c r="C16" s="10">
        <f t="shared" ref="C16:H16" si="0">SUM(C8:C15)</f>
        <v>35188</v>
      </c>
      <c r="D16" s="10">
        <f t="shared" si="0"/>
        <v>30857</v>
      </c>
      <c r="E16" s="10">
        <f t="shared" si="0"/>
        <v>35062</v>
      </c>
      <c r="F16" s="10">
        <f t="shared" si="0"/>
        <v>39257</v>
      </c>
      <c r="G16" s="10">
        <f t="shared" si="0"/>
        <v>34068</v>
      </c>
      <c r="H16" s="10">
        <f t="shared" si="0"/>
        <v>35663</v>
      </c>
    </row>
    <row r="17" spans="1:8" x14ac:dyDescent="0.3">
      <c r="C17" s="6"/>
      <c r="D17" s="6"/>
      <c r="E17" s="6"/>
      <c r="F17" s="6"/>
      <c r="G17" s="6"/>
    </row>
    <row r="18" spans="1:8" x14ac:dyDescent="0.3">
      <c r="B18" s="1" t="s">
        <v>13</v>
      </c>
      <c r="C18" s="6"/>
      <c r="D18" s="6"/>
      <c r="E18" s="6"/>
      <c r="F18" s="6"/>
      <c r="G18" s="6"/>
    </row>
    <row r="19" spans="1:8" x14ac:dyDescent="0.3">
      <c r="B19" t="s">
        <v>14</v>
      </c>
      <c r="C19" s="6">
        <v>33706</v>
      </c>
      <c r="D19" s="6">
        <v>30467</v>
      </c>
      <c r="E19" s="6">
        <v>30141</v>
      </c>
      <c r="F19" s="6">
        <v>28345</v>
      </c>
      <c r="G19" s="6">
        <v>25840</v>
      </c>
      <c r="H19" s="6">
        <v>28762</v>
      </c>
    </row>
    <row r="20" spans="1:8" x14ac:dyDescent="0.3">
      <c r="B20" t="s">
        <v>15</v>
      </c>
      <c r="C20" s="6">
        <v>30595</v>
      </c>
      <c r="D20" s="6">
        <v>28693</v>
      </c>
      <c r="E20" s="6">
        <v>31262</v>
      </c>
      <c r="F20" s="6">
        <v>31012</v>
      </c>
      <c r="G20" s="6">
        <v>27620</v>
      </c>
      <c r="H20" s="6">
        <v>28896</v>
      </c>
    </row>
    <row r="21" spans="1:8" x14ac:dyDescent="0.3">
      <c r="B21" t="s">
        <v>16</v>
      </c>
      <c r="C21" s="6">
        <v>19245</v>
      </c>
      <c r="D21" s="6">
        <v>18225</v>
      </c>
      <c r="E21" s="6">
        <v>20237</v>
      </c>
      <c r="F21" s="6">
        <v>22223</v>
      </c>
      <c r="G21" s="6">
        <v>20148</v>
      </c>
      <c r="H21" s="6">
        <v>17824</v>
      </c>
    </row>
    <row r="22" spans="1:8" x14ac:dyDescent="0.3">
      <c r="B22" t="s">
        <v>17</v>
      </c>
      <c r="C22" s="6">
        <v>14326</v>
      </c>
      <c r="D22" s="6">
        <v>13088</v>
      </c>
      <c r="E22" s="6">
        <v>13023</v>
      </c>
      <c r="F22" s="6">
        <v>11806</v>
      </c>
      <c r="G22" s="6">
        <v>12005</v>
      </c>
      <c r="H22" s="6">
        <v>11505</v>
      </c>
    </row>
    <row r="23" spans="1:8" x14ac:dyDescent="0.3">
      <c r="B23" t="s">
        <v>18</v>
      </c>
      <c r="C23" s="6">
        <v>3650</v>
      </c>
      <c r="D23" s="6">
        <v>2947</v>
      </c>
      <c r="E23" s="6">
        <v>3253</v>
      </c>
      <c r="F23" s="6">
        <v>2824</v>
      </c>
      <c r="G23" s="6">
        <v>2594</v>
      </c>
      <c r="H23" s="6">
        <v>2611</v>
      </c>
    </row>
    <row r="24" spans="1:8" x14ac:dyDescent="0.3">
      <c r="B24" t="s">
        <v>9</v>
      </c>
      <c r="C24" s="6">
        <v>84</v>
      </c>
      <c r="D24" s="6">
        <v>130</v>
      </c>
      <c r="E24" s="6">
        <v>0</v>
      </c>
      <c r="F24" s="6">
        <v>0</v>
      </c>
      <c r="G24" s="6">
        <v>0</v>
      </c>
    </row>
    <row r="25" spans="1:8" x14ac:dyDescent="0.3">
      <c r="B25" t="s">
        <v>19</v>
      </c>
      <c r="C25" s="6">
        <v>1475</v>
      </c>
      <c r="D25" s="6">
        <v>962</v>
      </c>
      <c r="E25" s="6">
        <v>1161</v>
      </c>
      <c r="F25" s="6">
        <v>2417</v>
      </c>
      <c r="G25" s="6">
        <v>468</v>
      </c>
      <c r="H25" s="6">
        <v>510</v>
      </c>
    </row>
    <row r="26" spans="1:8" x14ac:dyDescent="0.3">
      <c r="B26" t="s">
        <v>10</v>
      </c>
      <c r="C26" s="6">
        <v>0</v>
      </c>
      <c r="D26" s="6">
        <v>0</v>
      </c>
      <c r="E26" s="6">
        <v>0</v>
      </c>
      <c r="F26" s="6">
        <v>0</v>
      </c>
      <c r="G26" s="6">
        <v>0</v>
      </c>
      <c r="H26" s="6">
        <v>55</v>
      </c>
    </row>
    <row r="27" spans="1:8" x14ac:dyDescent="0.3">
      <c r="B27" t="s">
        <v>20</v>
      </c>
      <c r="C27" s="6">
        <v>995</v>
      </c>
      <c r="D27" s="6">
        <v>1181</v>
      </c>
      <c r="E27" s="6">
        <v>1043</v>
      </c>
      <c r="F27" s="6">
        <v>1258</v>
      </c>
      <c r="G27" s="6">
        <v>1285</v>
      </c>
      <c r="H27" s="6">
        <v>2114</v>
      </c>
    </row>
    <row r="28" spans="1:8" x14ac:dyDescent="0.3">
      <c r="B28" s="1" t="s">
        <v>21</v>
      </c>
      <c r="C28" s="10">
        <f t="shared" ref="C28:H28" si="1">SUM(C19:C27)</f>
        <v>104076</v>
      </c>
      <c r="D28" s="10">
        <f t="shared" si="1"/>
        <v>95693</v>
      </c>
      <c r="E28" s="10">
        <f t="shared" si="1"/>
        <v>100120</v>
      </c>
      <c r="F28" s="10">
        <f t="shared" si="1"/>
        <v>99885</v>
      </c>
      <c r="G28" s="10">
        <f t="shared" si="1"/>
        <v>89960</v>
      </c>
      <c r="H28" s="10">
        <f t="shared" si="1"/>
        <v>92277</v>
      </c>
    </row>
    <row r="29" spans="1:8" x14ac:dyDescent="0.3">
      <c r="C29" s="6"/>
      <c r="D29" s="6"/>
      <c r="E29" s="6"/>
      <c r="F29" s="6"/>
      <c r="G29" s="6"/>
    </row>
    <row r="30" spans="1:8" ht="15" thickBot="1" x14ac:dyDescent="0.35">
      <c r="A30" s="1" t="s">
        <v>22</v>
      </c>
      <c r="C30" s="17">
        <f t="shared" ref="C30:H30" si="2">C16+C28</f>
        <v>139264</v>
      </c>
      <c r="D30" s="17">
        <f t="shared" si="2"/>
        <v>126550</v>
      </c>
      <c r="E30" s="17">
        <f t="shared" si="2"/>
        <v>135182</v>
      </c>
      <c r="F30" s="17">
        <f t="shared" si="2"/>
        <v>139142</v>
      </c>
      <c r="G30" s="17">
        <f t="shared" si="2"/>
        <v>124028</v>
      </c>
      <c r="H30" s="17">
        <f t="shared" si="2"/>
        <v>127940</v>
      </c>
    </row>
    <row r="31" spans="1:8" ht="15" thickTop="1" x14ac:dyDescent="0.3">
      <c r="C31" s="6"/>
      <c r="D31" s="6"/>
      <c r="E31" s="6"/>
      <c r="F31" s="6"/>
      <c r="G31" s="6"/>
    </row>
    <row r="32" spans="1:8" x14ac:dyDescent="0.3">
      <c r="C32" s="6"/>
      <c r="D32" s="6"/>
      <c r="E32" s="6"/>
      <c r="F32" s="6"/>
      <c r="G32" s="6"/>
    </row>
    <row r="33" spans="1:8" x14ac:dyDescent="0.3">
      <c r="A33" s="1" t="s">
        <v>23</v>
      </c>
      <c r="C33" s="6"/>
      <c r="D33" s="6"/>
      <c r="E33" s="6"/>
      <c r="F33" s="6"/>
      <c r="G33" s="6"/>
    </row>
    <row r="34" spans="1:8" x14ac:dyDescent="0.3">
      <c r="B34" s="1" t="s">
        <v>24</v>
      </c>
      <c r="C34" s="6"/>
      <c r="D34" s="6"/>
      <c r="E34" s="6"/>
      <c r="F34" s="6"/>
      <c r="G34" s="6"/>
    </row>
    <row r="35" spans="1:8" x14ac:dyDescent="0.3">
      <c r="B35" t="s">
        <v>25</v>
      </c>
      <c r="C35" s="6">
        <v>11863</v>
      </c>
      <c r="D35" s="6">
        <v>9416</v>
      </c>
      <c r="E35" s="6">
        <v>10892</v>
      </c>
      <c r="F35" s="6">
        <v>10092</v>
      </c>
      <c r="G35" s="6">
        <v>12019</v>
      </c>
      <c r="H35" s="6">
        <v>14032</v>
      </c>
    </row>
    <row r="36" spans="1:8" x14ac:dyDescent="0.3">
      <c r="B36" t="s">
        <v>26</v>
      </c>
      <c r="C36" s="6">
        <v>408</v>
      </c>
      <c r="D36" s="6">
        <v>317</v>
      </c>
      <c r="E36" s="6">
        <v>352</v>
      </c>
      <c r="F36" s="6">
        <v>464</v>
      </c>
      <c r="G36" s="6">
        <v>18515</v>
      </c>
      <c r="H36" s="6">
        <v>18803</v>
      </c>
    </row>
    <row r="37" spans="1:8" x14ac:dyDescent="0.3">
      <c r="B37" t="s">
        <v>27</v>
      </c>
      <c r="C37" s="6">
        <v>21807</v>
      </c>
      <c r="D37" s="6">
        <v>19204</v>
      </c>
      <c r="E37" s="6">
        <v>20523</v>
      </c>
      <c r="F37" s="6">
        <v>20907</v>
      </c>
      <c r="G37" s="6">
        <v>4917</v>
      </c>
      <c r="H37" s="6">
        <v>4492</v>
      </c>
    </row>
    <row r="38" spans="1:8" x14ac:dyDescent="0.3">
      <c r="B38" t="s">
        <v>28</v>
      </c>
      <c r="C38" s="6">
        <v>5466</v>
      </c>
      <c r="D38" s="6">
        <v>5112</v>
      </c>
      <c r="E38" s="6">
        <v>5114</v>
      </c>
      <c r="F38" s="6">
        <v>5051</v>
      </c>
      <c r="G38" s="6">
        <v>508</v>
      </c>
      <c r="H38" s="6">
        <v>802</v>
      </c>
    </row>
    <row r="39" spans="1:8" x14ac:dyDescent="0.3">
      <c r="B39" t="s">
        <v>29</v>
      </c>
      <c r="C39" s="6">
        <v>865</v>
      </c>
      <c r="D39" s="6">
        <v>675</v>
      </c>
      <c r="E39" s="6">
        <v>620</v>
      </c>
      <c r="F39" s="6">
        <v>532</v>
      </c>
      <c r="G39" s="6">
        <v>254</v>
      </c>
      <c r="H39" s="6">
        <v>420</v>
      </c>
    </row>
    <row r="40" spans="1:8" x14ac:dyDescent="0.3">
      <c r="B40" t="s">
        <v>30</v>
      </c>
      <c r="C40" s="6">
        <v>2435</v>
      </c>
      <c r="D40" s="6">
        <v>2360</v>
      </c>
      <c r="E40" s="6">
        <v>2447</v>
      </c>
      <c r="F40" s="6">
        <v>2962</v>
      </c>
      <c r="G40" s="6">
        <v>2661</v>
      </c>
      <c r="H40" s="6">
        <v>2673</v>
      </c>
    </row>
    <row r="41" spans="1:8" x14ac:dyDescent="0.3">
      <c r="B41" t="s">
        <v>31</v>
      </c>
      <c r="C41" s="6">
        <v>19</v>
      </c>
      <c r="D41" s="13">
        <v>0</v>
      </c>
      <c r="E41" s="6">
        <v>28</v>
      </c>
      <c r="F41" s="6">
        <v>12</v>
      </c>
      <c r="G41" s="6">
        <v>848</v>
      </c>
      <c r="H41" s="6">
        <v>393</v>
      </c>
    </row>
    <row r="42" spans="1:8" x14ac:dyDescent="0.3">
      <c r="B42" s="1" t="s">
        <v>32</v>
      </c>
      <c r="C42" s="12">
        <f t="shared" ref="C42:H42" si="3">SUM(C35:C41)</f>
        <v>42863</v>
      </c>
      <c r="D42" s="12">
        <f t="shared" si="3"/>
        <v>37084</v>
      </c>
      <c r="E42" s="12">
        <f t="shared" si="3"/>
        <v>39976</v>
      </c>
      <c r="F42" s="12">
        <f t="shared" si="3"/>
        <v>40020</v>
      </c>
      <c r="G42" s="12">
        <f t="shared" si="3"/>
        <v>39722</v>
      </c>
      <c r="H42" s="12">
        <f t="shared" si="3"/>
        <v>41615</v>
      </c>
    </row>
    <row r="43" spans="1:8" x14ac:dyDescent="0.3">
      <c r="C43" s="6"/>
      <c r="D43" s="6"/>
      <c r="E43" s="6"/>
      <c r="F43" s="6"/>
      <c r="G43" s="6"/>
    </row>
    <row r="44" spans="1:8" x14ac:dyDescent="0.3">
      <c r="B44" s="1" t="s">
        <v>33</v>
      </c>
      <c r="C44" s="6"/>
      <c r="D44" s="6"/>
      <c r="E44" s="6"/>
      <c r="F44" s="6"/>
      <c r="G44" s="6"/>
    </row>
    <row r="45" spans="1:8" x14ac:dyDescent="0.3">
      <c r="B45" t="s">
        <v>25</v>
      </c>
      <c r="C45" s="6">
        <v>51697</v>
      </c>
      <c r="D45" s="6">
        <v>45825</v>
      </c>
      <c r="E45" s="6">
        <v>43420</v>
      </c>
      <c r="F45" s="6">
        <v>36482</v>
      </c>
      <c r="G45" s="6">
        <v>27928</v>
      </c>
      <c r="H45" s="6">
        <v>23132</v>
      </c>
    </row>
    <row r="46" spans="1:8" x14ac:dyDescent="0.3">
      <c r="B46" t="s">
        <v>26</v>
      </c>
      <c r="C46" s="6">
        <v>307</v>
      </c>
      <c r="D46" s="6">
        <v>239</v>
      </c>
      <c r="E46" s="6">
        <v>470</v>
      </c>
      <c r="F46" s="6">
        <v>0</v>
      </c>
      <c r="G46" s="6">
        <v>0</v>
      </c>
      <c r="H46" s="6">
        <v>0</v>
      </c>
    </row>
    <row r="47" spans="1:8" x14ac:dyDescent="0.3">
      <c r="B47" t="s">
        <v>34</v>
      </c>
      <c r="C47" s="6">
        <v>2629</v>
      </c>
      <c r="D47" s="6">
        <v>2718</v>
      </c>
      <c r="E47" s="6">
        <v>2884</v>
      </c>
      <c r="F47" s="6">
        <v>3779</v>
      </c>
      <c r="G47" s="6">
        <v>5118</v>
      </c>
      <c r="H47" s="6">
        <v>6151</v>
      </c>
    </row>
    <row r="48" spans="1:8" x14ac:dyDescent="0.3">
      <c r="B48" t="s">
        <v>29</v>
      </c>
      <c r="C48" s="6">
        <v>1086</v>
      </c>
      <c r="D48" s="6">
        <v>1303</v>
      </c>
      <c r="E48" s="6">
        <v>1113</v>
      </c>
      <c r="F48" s="6">
        <v>1106</v>
      </c>
      <c r="G48" s="6">
        <v>1029</v>
      </c>
      <c r="H48" s="6">
        <v>1162</v>
      </c>
    </row>
    <row r="49" spans="2:8" x14ac:dyDescent="0.3">
      <c r="B49" t="s">
        <v>68</v>
      </c>
      <c r="C49" s="6">
        <v>3767</v>
      </c>
      <c r="D49" s="6">
        <v>2886</v>
      </c>
      <c r="E49" s="6">
        <v>3671</v>
      </c>
      <c r="F49" s="6">
        <v>3794</v>
      </c>
      <c r="G49" s="6">
        <v>2636</v>
      </c>
      <c r="H49" s="6">
        <v>2589</v>
      </c>
    </row>
    <row r="50" spans="2:8" x14ac:dyDescent="0.3">
      <c r="B50" t="s">
        <v>35</v>
      </c>
      <c r="C50" s="6">
        <v>222</v>
      </c>
      <c r="D50" s="6">
        <v>108</v>
      </c>
      <c r="E50" s="6">
        <v>856</v>
      </c>
      <c r="F50" s="6">
        <v>234</v>
      </c>
      <c r="G50" s="6">
        <v>1081</v>
      </c>
      <c r="H50" s="6">
        <v>429</v>
      </c>
    </row>
    <row r="51" spans="2:8" x14ac:dyDescent="0.3">
      <c r="B51" s="1" t="s">
        <v>36</v>
      </c>
      <c r="C51" s="12">
        <f t="shared" ref="C51:H51" si="4">SUM(C45:C50)</f>
        <v>59708</v>
      </c>
      <c r="D51" s="12">
        <f t="shared" si="4"/>
        <v>53079</v>
      </c>
      <c r="E51" s="12">
        <f t="shared" si="4"/>
        <v>52414</v>
      </c>
      <c r="F51" s="12">
        <f t="shared" si="4"/>
        <v>45395</v>
      </c>
      <c r="G51" s="12">
        <f t="shared" si="4"/>
        <v>37792</v>
      </c>
      <c r="H51" s="12">
        <f t="shared" si="4"/>
        <v>33463</v>
      </c>
    </row>
    <row r="52" spans="2:8" x14ac:dyDescent="0.3">
      <c r="B52" s="1"/>
      <c r="C52" s="6"/>
      <c r="D52" s="6"/>
      <c r="E52" s="6"/>
      <c r="F52" s="6"/>
      <c r="G52" s="6"/>
    </row>
    <row r="53" spans="2:8" x14ac:dyDescent="0.3">
      <c r="B53" s="1" t="s">
        <v>69</v>
      </c>
      <c r="C53" s="12">
        <f t="shared" ref="C53:H53" si="5">C42+C51</f>
        <v>102571</v>
      </c>
      <c r="D53" s="12">
        <f t="shared" si="5"/>
        <v>90163</v>
      </c>
      <c r="E53" s="12">
        <f t="shared" si="5"/>
        <v>92390</v>
      </c>
      <c r="F53" s="12">
        <f t="shared" si="5"/>
        <v>85415</v>
      </c>
      <c r="G53" s="12">
        <f t="shared" si="5"/>
        <v>77514</v>
      </c>
      <c r="H53" s="12">
        <f t="shared" si="5"/>
        <v>75078</v>
      </c>
    </row>
    <row r="54" spans="2:8" x14ac:dyDescent="0.3">
      <c r="C54" s="6"/>
      <c r="D54" s="6"/>
      <c r="E54" s="6"/>
      <c r="F54" s="6"/>
      <c r="G54" s="6"/>
    </row>
    <row r="55" spans="2:8" x14ac:dyDescent="0.3">
      <c r="B55" s="1" t="s">
        <v>37</v>
      </c>
      <c r="C55" s="6"/>
      <c r="D55" s="6"/>
      <c r="E55" s="6"/>
      <c r="F55" s="6"/>
      <c r="G55" s="6"/>
    </row>
    <row r="56" spans="2:8" x14ac:dyDescent="0.3">
      <c r="B56" t="s">
        <v>38</v>
      </c>
      <c r="C56" s="6">
        <v>262</v>
      </c>
      <c r="D56" s="6">
        <v>267</v>
      </c>
      <c r="E56" s="6">
        <v>275</v>
      </c>
      <c r="F56" s="6">
        <v>282</v>
      </c>
      <c r="G56" s="6">
        <v>288</v>
      </c>
      <c r="H56" s="6">
        <v>298</v>
      </c>
    </row>
    <row r="57" spans="2:8" x14ac:dyDescent="0.3">
      <c r="B57" t="s">
        <v>39</v>
      </c>
      <c r="C57" s="6">
        <v>-4283</v>
      </c>
      <c r="D57" s="6">
        <v>-5155</v>
      </c>
      <c r="E57" s="6">
        <v>-9303</v>
      </c>
      <c r="F57" s="6">
        <v>-6194</v>
      </c>
      <c r="G57" s="6">
        <v>-6643</v>
      </c>
      <c r="H57" s="6">
        <v>-9752</v>
      </c>
    </row>
    <row r="58" spans="2:8" x14ac:dyDescent="0.3">
      <c r="B58" t="s">
        <v>40</v>
      </c>
      <c r="C58" s="6">
        <v>-26788</v>
      </c>
      <c r="D58" s="6">
        <v>-27581</v>
      </c>
      <c r="E58" s="6">
        <v>-23559</v>
      </c>
      <c r="F58" s="6">
        <v>-22266</v>
      </c>
      <c r="G58" s="6">
        <v>-24397</v>
      </c>
      <c r="H58" s="6">
        <v>-21526</v>
      </c>
    </row>
    <row r="59" spans="2:8" x14ac:dyDescent="0.3">
      <c r="B59" t="s">
        <v>41</v>
      </c>
      <c r="C59" s="6">
        <v>363</v>
      </c>
      <c r="D59" s="6">
        <v>-50</v>
      </c>
      <c r="E59" s="6">
        <v>-63</v>
      </c>
      <c r="F59" s="6">
        <v>-45</v>
      </c>
      <c r="G59" s="6">
        <v>-365</v>
      </c>
      <c r="H59" s="6">
        <v>-45</v>
      </c>
    </row>
    <row r="60" spans="2:8" x14ac:dyDescent="0.3">
      <c r="B60" t="s">
        <v>42</v>
      </c>
      <c r="C60" s="6">
        <v>66363</v>
      </c>
      <c r="D60" s="6">
        <v>68261</v>
      </c>
      <c r="E60" s="6">
        <v>74632</v>
      </c>
      <c r="F60" s="6">
        <v>81363</v>
      </c>
      <c r="G60" s="6">
        <v>76812</v>
      </c>
      <c r="H60" s="6">
        <v>83060</v>
      </c>
    </row>
    <row r="61" spans="2:8" x14ac:dyDescent="0.3">
      <c r="B61" t="s">
        <v>43</v>
      </c>
      <c r="C61" s="8">
        <f t="shared" ref="C61:H61" si="6">SUM(C56:C60)</f>
        <v>35917</v>
      </c>
      <c r="D61" s="8">
        <f t="shared" si="6"/>
        <v>35742</v>
      </c>
      <c r="E61" s="8">
        <f t="shared" si="6"/>
        <v>41982</v>
      </c>
      <c r="F61" s="8">
        <f t="shared" si="6"/>
        <v>53140</v>
      </c>
      <c r="G61" s="8">
        <f t="shared" si="6"/>
        <v>45695</v>
      </c>
      <c r="H61" s="8">
        <f t="shared" si="6"/>
        <v>52035</v>
      </c>
    </row>
    <row r="62" spans="2:8" x14ac:dyDescent="0.3">
      <c r="B62" t="s">
        <v>44</v>
      </c>
      <c r="C62" s="6">
        <v>776</v>
      </c>
      <c r="D62" s="6">
        <v>645</v>
      </c>
      <c r="E62" s="6">
        <v>810</v>
      </c>
      <c r="F62" s="6">
        <v>587</v>
      </c>
      <c r="G62" s="6">
        <v>819</v>
      </c>
      <c r="H62" s="6">
        <v>827</v>
      </c>
    </row>
    <row r="63" spans="2:8" x14ac:dyDescent="0.3">
      <c r="B63" s="1" t="s">
        <v>45</v>
      </c>
      <c r="C63" s="12">
        <f t="shared" ref="C63:H63" si="7">SUM(C61:C62)</f>
        <v>36693</v>
      </c>
      <c r="D63" s="12">
        <f t="shared" si="7"/>
        <v>36387</v>
      </c>
      <c r="E63" s="12">
        <f t="shared" si="7"/>
        <v>42792</v>
      </c>
      <c r="F63" s="12">
        <f t="shared" si="7"/>
        <v>53727</v>
      </c>
      <c r="G63" s="12">
        <f t="shared" si="7"/>
        <v>46514</v>
      </c>
      <c r="H63" s="12">
        <f t="shared" si="7"/>
        <v>52862</v>
      </c>
    </row>
    <row r="64" spans="2:8" x14ac:dyDescent="0.3">
      <c r="C64" s="6"/>
      <c r="D64" s="6"/>
      <c r="E64" s="6"/>
      <c r="F64" s="6"/>
      <c r="G64" s="6"/>
    </row>
    <row r="65" spans="1:8" ht="15" thickBot="1" x14ac:dyDescent="0.35">
      <c r="A65" s="1" t="s">
        <v>46</v>
      </c>
      <c r="C65" s="11">
        <f t="shared" ref="C65:H65" si="8">C42+C51+C63</f>
        <v>139264</v>
      </c>
      <c r="D65" s="11">
        <f t="shared" si="8"/>
        <v>126550</v>
      </c>
      <c r="E65" s="11">
        <f t="shared" si="8"/>
        <v>135182</v>
      </c>
      <c r="F65" s="11">
        <f t="shared" si="8"/>
        <v>139142</v>
      </c>
      <c r="G65" s="11">
        <f t="shared" si="8"/>
        <v>124028</v>
      </c>
      <c r="H65" s="11">
        <f t="shared" si="8"/>
        <v>127940</v>
      </c>
    </row>
    <row r="66" spans="1:8" ht="15" thickTop="1" x14ac:dyDescent="0.3"/>
    <row r="68" spans="1:8" x14ac:dyDescent="0.3">
      <c r="B68" t="s">
        <v>90</v>
      </c>
      <c r="C68" s="6">
        <f t="shared" ref="C68:H68" si="9">C16-C42</f>
        <v>-7675</v>
      </c>
      <c r="D68" s="6">
        <f t="shared" si="9"/>
        <v>-6227</v>
      </c>
      <c r="E68" s="6">
        <f t="shared" si="9"/>
        <v>-4914</v>
      </c>
      <c r="F68" s="6">
        <f t="shared" si="9"/>
        <v>-763</v>
      </c>
      <c r="G68" s="6">
        <f t="shared" si="9"/>
        <v>-5654</v>
      </c>
      <c r="H68" s="6">
        <f t="shared" si="9"/>
        <v>-5952</v>
      </c>
    </row>
    <row r="70" spans="1:8" x14ac:dyDescent="0.3">
      <c r="B70" t="s">
        <v>152</v>
      </c>
      <c r="C70">
        <v>2620</v>
      </c>
      <c r="D70">
        <v>2670</v>
      </c>
      <c r="E70">
        <v>2750</v>
      </c>
      <c r="F70">
        <v>2815</v>
      </c>
      <c r="G70">
        <v>2881</v>
      </c>
      <c r="H70">
        <v>2976</v>
      </c>
    </row>
    <row r="72" spans="1:8" x14ac:dyDescent="0.3">
      <c r="B72" t="s">
        <v>92</v>
      </c>
      <c r="C72">
        <v>2596</v>
      </c>
      <c r="D72">
        <v>2646</v>
      </c>
      <c r="E72">
        <v>2707</v>
      </c>
      <c r="F72">
        <v>2788</v>
      </c>
      <c r="G72">
        <v>2845</v>
      </c>
      <c r="H72">
        <v>2929</v>
      </c>
    </row>
    <row r="73" spans="1:8" x14ac:dyDescent="0.3">
      <c r="B73" t="s">
        <v>93</v>
      </c>
      <c r="C73">
        <v>2599</v>
      </c>
      <c r="D73">
        <v>2648</v>
      </c>
      <c r="E73">
        <v>2709</v>
      </c>
      <c r="F73">
        <v>2791</v>
      </c>
      <c r="G73">
        <v>2849</v>
      </c>
      <c r="H73">
        <v>2934</v>
      </c>
    </row>
  </sheetData>
  <mergeCells count="1">
    <mergeCell ref="A1:H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A2C3-627C-476D-B4A2-9CDF0D7076A2}">
  <sheetPr codeName="Sheet2"/>
  <dimension ref="A1:I32"/>
  <sheetViews>
    <sheetView zoomScale="93" workbookViewId="0">
      <selection sqref="A1:G2"/>
    </sheetView>
  </sheetViews>
  <sheetFormatPr defaultColWidth="8.77734375" defaultRowHeight="14.4" x14ac:dyDescent="0.3"/>
  <cols>
    <col min="1" max="1" width="4.109375" customWidth="1"/>
    <col min="2" max="2" width="45.5546875" customWidth="1"/>
    <col min="3" max="3" width="14.44140625" customWidth="1"/>
    <col min="4" max="4" width="11" customWidth="1"/>
    <col min="5" max="5" width="10.5546875" customWidth="1"/>
    <col min="6" max="6" width="10.33203125" customWidth="1"/>
    <col min="7" max="7" width="11.109375" customWidth="1"/>
    <col min="8" max="8" width="10.21875" customWidth="1"/>
  </cols>
  <sheetData>
    <row r="1" spans="1:9" x14ac:dyDescent="0.3">
      <c r="A1" s="73" t="s">
        <v>280</v>
      </c>
      <c r="B1" s="73"/>
      <c r="C1" s="73"/>
      <c r="D1" s="73"/>
      <c r="E1" s="73"/>
      <c r="F1" s="73"/>
      <c r="G1" s="73"/>
    </row>
    <row r="2" spans="1:9" x14ac:dyDescent="0.3">
      <c r="A2" s="73"/>
      <c r="B2" s="73"/>
      <c r="C2" s="73"/>
      <c r="D2" s="73"/>
      <c r="E2" s="73"/>
      <c r="F2" s="73"/>
      <c r="G2" s="73"/>
    </row>
    <row r="3" spans="1:9" s="1" customFormat="1" x14ac:dyDescent="0.3">
      <c r="A3" s="1" t="s">
        <v>1</v>
      </c>
      <c r="C3" s="1">
        <v>2024</v>
      </c>
      <c r="D3" s="1">
        <v>2023</v>
      </c>
      <c r="E3" s="1">
        <v>2022</v>
      </c>
      <c r="F3" s="1">
        <v>2021</v>
      </c>
      <c r="G3" s="1">
        <v>2020</v>
      </c>
      <c r="H3" s="1">
        <v>2019</v>
      </c>
    </row>
    <row r="4" spans="1:9" x14ac:dyDescent="0.3">
      <c r="B4" s="1" t="s">
        <v>0</v>
      </c>
      <c r="C4" s="5">
        <v>91354</v>
      </c>
      <c r="D4" s="5">
        <v>92998</v>
      </c>
      <c r="E4" s="5">
        <v>94424</v>
      </c>
      <c r="F4" s="5">
        <v>87088</v>
      </c>
      <c r="G4" s="5">
        <v>84343</v>
      </c>
      <c r="H4" s="5">
        <v>92568</v>
      </c>
      <c r="I4" s="5"/>
    </row>
    <row r="5" spans="1:9" x14ac:dyDescent="0.3">
      <c r="B5" t="s">
        <v>47</v>
      </c>
      <c r="C5" s="6">
        <v>366</v>
      </c>
      <c r="D5" s="6">
        <v>353</v>
      </c>
      <c r="E5" s="6">
        <v>356</v>
      </c>
      <c r="F5" s="6">
        <v>382</v>
      </c>
      <c r="G5" s="6">
        <v>338</v>
      </c>
      <c r="H5" s="6">
        <v>297</v>
      </c>
      <c r="I5" s="6"/>
    </row>
    <row r="6" spans="1:9" x14ac:dyDescent="0.3">
      <c r="B6" t="s">
        <v>48</v>
      </c>
      <c r="C6" s="6">
        <v>-48670</v>
      </c>
      <c r="D6" s="6">
        <v>-50328</v>
      </c>
      <c r="E6" s="6">
        <v>-51745</v>
      </c>
      <c r="F6" s="6">
        <v>-45468</v>
      </c>
      <c r="G6" s="6">
        <v>-42971</v>
      </c>
      <c r="H6" s="6">
        <v>-46647</v>
      </c>
      <c r="I6" s="6"/>
    </row>
    <row r="7" spans="1:9" x14ac:dyDescent="0.3">
      <c r="B7" t="s">
        <v>49</v>
      </c>
      <c r="C7" s="6">
        <v>-7567</v>
      </c>
      <c r="D7" s="6">
        <v>-7765</v>
      </c>
      <c r="E7" s="6">
        <v>-8386</v>
      </c>
      <c r="F7" s="6">
        <v>-7919</v>
      </c>
      <c r="G7" s="6">
        <v>-7861</v>
      </c>
      <c r="H7" s="6">
        <v>-8496</v>
      </c>
      <c r="I7" s="6"/>
    </row>
    <row r="8" spans="1:9" x14ac:dyDescent="0.3">
      <c r="B8" t="s">
        <v>50</v>
      </c>
      <c r="C8" s="6">
        <v>-18112</v>
      </c>
      <c r="D8" s="6">
        <v>-17549</v>
      </c>
      <c r="E8" s="6">
        <v>-16850</v>
      </c>
      <c r="F8" s="6">
        <v>-17294</v>
      </c>
      <c r="G8" s="6">
        <v>-17370</v>
      </c>
      <c r="H8" s="6">
        <v>-19790</v>
      </c>
      <c r="I8" s="6"/>
    </row>
    <row r="9" spans="1:9" x14ac:dyDescent="0.3">
      <c r="B9" t="s">
        <v>51</v>
      </c>
      <c r="C9" s="6">
        <v>-1667</v>
      </c>
      <c r="D9" s="6">
        <v>-1656</v>
      </c>
      <c r="E9" s="6">
        <v>-1696</v>
      </c>
      <c r="F9" s="6">
        <v>-1670</v>
      </c>
      <c r="G9" s="6">
        <v>-1576</v>
      </c>
      <c r="H9" s="6">
        <v>-1672</v>
      </c>
      <c r="I9" s="6"/>
    </row>
    <row r="10" spans="1:9" x14ac:dyDescent="0.3">
      <c r="B10" t="s">
        <v>52</v>
      </c>
      <c r="C10" s="6">
        <v>124</v>
      </c>
      <c r="D10" s="6">
        <v>132</v>
      </c>
      <c r="E10" s="6">
        <v>107</v>
      </c>
      <c r="F10" s="6">
        <v>171</v>
      </c>
      <c r="G10" s="6">
        <v>238</v>
      </c>
      <c r="H10" s="6">
        <v>163</v>
      </c>
      <c r="I10" s="6"/>
    </row>
    <row r="11" spans="1:9" x14ac:dyDescent="0.3">
      <c r="B11" t="s">
        <v>53</v>
      </c>
      <c r="C11" s="6">
        <v>-1195</v>
      </c>
      <c r="D11" s="6">
        <v>-1665</v>
      </c>
      <c r="E11" s="6">
        <v>-3015</v>
      </c>
      <c r="F11" s="6">
        <v>-3131</v>
      </c>
      <c r="G11" s="6">
        <v>-908</v>
      </c>
      <c r="H11" s="6">
        <v>-2749</v>
      </c>
      <c r="I11" s="6"/>
    </row>
    <row r="12" spans="1:9" x14ac:dyDescent="0.3">
      <c r="B12" s="4" t="s">
        <v>65</v>
      </c>
      <c r="C12" s="7">
        <f t="shared" ref="C12:H12" si="0">SUM(C4:C11)</f>
        <v>14633</v>
      </c>
      <c r="D12" s="7">
        <f t="shared" si="0"/>
        <v>14520</v>
      </c>
      <c r="E12" s="7">
        <f t="shared" si="0"/>
        <v>13195</v>
      </c>
      <c r="F12" s="7">
        <f t="shared" si="0"/>
        <v>12159</v>
      </c>
      <c r="G12" s="7">
        <f t="shared" si="0"/>
        <v>14233</v>
      </c>
      <c r="H12" s="7">
        <f t="shared" si="0"/>
        <v>13674</v>
      </c>
      <c r="I12" s="5"/>
    </row>
    <row r="13" spans="1:9" x14ac:dyDescent="0.3">
      <c r="B13" t="s">
        <v>54</v>
      </c>
      <c r="C13" s="6">
        <v>474</v>
      </c>
      <c r="D13" s="6">
        <v>298</v>
      </c>
      <c r="E13" s="6">
        <v>340</v>
      </c>
      <c r="F13" s="6">
        <v>698</v>
      </c>
      <c r="G13" s="6">
        <v>1919</v>
      </c>
      <c r="H13" s="6">
        <v>3717</v>
      </c>
      <c r="I13" s="6"/>
    </row>
    <row r="14" spans="1:9" x14ac:dyDescent="0.3">
      <c r="B14" t="s">
        <v>55</v>
      </c>
      <c r="C14" s="6">
        <v>-383</v>
      </c>
      <c r="D14" s="6">
        <v>-755</v>
      </c>
      <c r="E14" s="6">
        <v>-1209</v>
      </c>
      <c r="F14" s="6">
        <v>-1178</v>
      </c>
      <c r="G14" s="6">
        <v>-1356</v>
      </c>
      <c r="H14" s="6">
        <v>-1313</v>
      </c>
      <c r="I14" s="6"/>
    </row>
    <row r="15" spans="1:9" x14ac:dyDescent="0.3">
      <c r="B15" s="4" t="s">
        <v>61</v>
      </c>
      <c r="C15" s="8">
        <f t="shared" ref="C15:H15" si="1">SUM(C12:C14)</f>
        <v>14724</v>
      </c>
      <c r="D15" s="8">
        <f t="shared" si="1"/>
        <v>14063</v>
      </c>
      <c r="E15" s="8">
        <f t="shared" si="1"/>
        <v>12326</v>
      </c>
      <c r="F15" s="8">
        <f t="shared" si="1"/>
        <v>11679</v>
      </c>
      <c r="G15" s="8">
        <f t="shared" si="1"/>
        <v>14796</v>
      </c>
      <c r="H15" s="8">
        <f t="shared" si="1"/>
        <v>16078</v>
      </c>
      <c r="I15" s="6"/>
    </row>
    <row r="16" spans="1:9" x14ac:dyDescent="0.3">
      <c r="B16" t="s">
        <v>56</v>
      </c>
      <c r="C16" s="6">
        <v>358</v>
      </c>
      <c r="D16" s="6">
        <v>284</v>
      </c>
      <c r="E16" s="6">
        <v>210</v>
      </c>
      <c r="F16" s="6">
        <v>80</v>
      </c>
      <c r="G16" s="6">
        <v>109</v>
      </c>
      <c r="H16" s="6">
        <v>200</v>
      </c>
      <c r="I16" s="6"/>
    </row>
    <row r="17" spans="2:9" x14ac:dyDescent="0.3">
      <c r="B17" t="s">
        <v>57</v>
      </c>
      <c r="C17" s="6">
        <v>-1843</v>
      </c>
      <c r="D17" s="6">
        <v>-1644</v>
      </c>
      <c r="E17" s="6">
        <v>-1250</v>
      </c>
      <c r="F17" s="6">
        <v>-953</v>
      </c>
      <c r="G17" s="6">
        <v>-983</v>
      </c>
      <c r="H17" s="6">
        <v>-1216</v>
      </c>
      <c r="I17" s="6"/>
    </row>
    <row r="18" spans="2:9" x14ac:dyDescent="0.3">
      <c r="B18" t="s">
        <v>59</v>
      </c>
      <c r="C18" s="6">
        <v>1249</v>
      </c>
      <c r="D18" s="6">
        <v>1120</v>
      </c>
      <c r="E18" s="6">
        <v>1040</v>
      </c>
      <c r="F18" s="16">
        <v>8651</v>
      </c>
      <c r="G18" s="6">
        <v>1815</v>
      </c>
      <c r="H18" s="6">
        <v>1001</v>
      </c>
      <c r="I18" s="6"/>
    </row>
    <row r="19" spans="2:9" x14ac:dyDescent="0.3">
      <c r="B19" s="3" t="s">
        <v>58</v>
      </c>
      <c r="C19" s="8">
        <f t="shared" ref="C19:H19" si="2">SUM(C15:C18)</f>
        <v>14488</v>
      </c>
      <c r="D19" s="8">
        <f t="shared" si="2"/>
        <v>13823</v>
      </c>
      <c r="E19" s="8">
        <f t="shared" si="2"/>
        <v>12326</v>
      </c>
      <c r="F19" s="8">
        <f t="shared" si="2"/>
        <v>19457</v>
      </c>
      <c r="G19" s="8">
        <f t="shared" si="2"/>
        <v>15737</v>
      </c>
      <c r="H19" s="8">
        <f t="shared" si="2"/>
        <v>16063</v>
      </c>
      <c r="I19" s="6"/>
    </row>
    <row r="20" spans="2:9" x14ac:dyDescent="0.3">
      <c r="B20" t="s">
        <v>60</v>
      </c>
      <c r="C20" s="6">
        <v>-3314</v>
      </c>
      <c r="D20" s="6">
        <v>-2314</v>
      </c>
      <c r="E20" s="6">
        <v>-2730</v>
      </c>
      <c r="F20" s="6">
        <v>-2261</v>
      </c>
      <c r="G20" s="6">
        <v>-3365</v>
      </c>
      <c r="H20" s="6">
        <v>-3159</v>
      </c>
      <c r="I20" s="6"/>
    </row>
    <row r="21" spans="2:9" ht="15" thickBot="1" x14ac:dyDescent="0.35">
      <c r="B21" s="38" t="s">
        <v>62</v>
      </c>
      <c r="C21" s="9">
        <f t="shared" ref="C21:H21" si="3">SUM(C19:C20)</f>
        <v>11174</v>
      </c>
      <c r="D21" s="9">
        <f t="shared" si="3"/>
        <v>11509</v>
      </c>
      <c r="E21" s="9">
        <f t="shared" si="3"/>
        <v>9596</v>
      </c>
      <c r="F21" s="9">
        <f t="shared" si="3"/>
        <v>17196</v>
      </c>
      <c r="G21" s="9">
        <f t="shared" si="3"/>
        <v>12372</v>
      </c>
      <c r="H21" s="9">
        <f t="shared" si="3"/>
        <v>12904</v>
      </c>
      <c r="I21" s="6"/>
    </row>
    <row r="22" spans="2:9" ht="15" thickTop="1" x14ac:dyDescent="0.3"/>
    <row r="23" spans="2:9" x14ac:dyDescent="0.3">
      <c r="B23" t="s">
        <v>63</v>
      </c>
      <c r="C23">
        <v>290</v>
      </c>
      <c r="D23">
        <v>300</v>
      </c>
      <c r="E23">
        <v>326</v>
      </c>
      <c r="F23">
        <v>291</v>
      </c>
      <c r="G23">
        <v>140</v>
      </c>
      <c r="H23">
        <v>295</v>
      </c>
    </row>
    <row r="24" spans="2:9" x14ac:dyDescent="0.3">
      <c r="B24" t="s">
        <v>64</v>
      </c>
      <c r="C24" s="1">
        <f t="shared" ref="C24:H24" si="4">C21-C23</f>
        <v>10884</v>
      </c>
      <c r="D24" s="1">
        <f t="shared" si="4"/>
        <v>11209</v>
      </c>
      <c r="E24" s="1">
        <f t="shared" si="4"/>
        <v>9270</v>
      </c>
      <c r="F24" s="1">
        <f t="shared" si="4"/>
        <v>16905</v>
      </c>
      <c r="G24" s="1">
        <f t="shared" si="4"/>
        <v>12232</v>
      </c>
      <c r="H24" s="1">
        <f t="shared" si="4"/>
        <v>12609</v>
      </c>
      <c r="I24" s="1"/>
    </row>
    <row r="27" spans="2:9" x14ac:dyDescent="0.3">
      <c r="B27" t="s">
        <v>70</v>
      </c>
      <c r="C27" s="19">
        <f>C24/'Balance Sheet'!C72</f>
        <v>4.1926040061633278</v>
      </c>
      <c r="D27" s="19">
        <f>D24/'Balance Sheet'!D72</f>
        <v>4.2362055933484504</v>
      </c>
      <c r="E27" s="19">
        <f>E24/'Balance Sheet'!E72</f>
        <v>3.4244551163649799</v>
      </c>
      <c r="F27" s="19">
        <f>F24/'Balance Sheet'!F72</f>
        <v>6.0634863701578192</v>
      </c>
      <c r="G27" s="19">
        <f>G24/'Balance Sheet'!G72</f>
        <v>4.2994727592267132</v>
      </c>
      <c r="H27" s="19">
        <f>H24/'Balance Sheet'!H72</f>
        <v>4.3048822123591668</v>
      </c>
      <c r="I27" s="19"/>
    </row>
    <row r="28" spans="2:9" x14ac:dyDescent="0.3">
      <c r="B28" t="s">
        <v>86</v>
      </c>
      <c r="C28" s="19">
        <v>3.05</v>
      </c>
      <c r="D28" s="19">
        <v>3</v>
      </c>
      <c r="E28" s="19">
        <v>2.95</v>
      </c>
      <c r="F28" s="19">
        <v>2.8</v>
      </c>
      <c r="G28" s="19">
        <v>2.75</v>
      </c>
      <c r="H28" s="19"/>
      <c r="I28" s="19"/>
    </row>
    <row r="29" spans="2:9" x14ac:dyDescent="0.3">
      <c r="B29" t="s">
        <v>146</v>
      </c>
      <c r="C29" s="39">
        <v>74.88</v>
      </c>
      <c r="D29" s="39">
        <v>97.51</v>
      </c>
      <c r="E29" s="39">
        <v>107.41</v>
      </c>
      <c r="F29" s="39">
        <v>127.44</v>
      </c>
      <c r="G29" s="39">
        <v>104.26</v>
      </c>
    </row>
    <row r="31" spans="2:9" x14ac:dyDescent="0.3">
      <c r="B31" s="1" t="s">
        <v>276</v>
      </c>
    </row>
    <row r="32" spans="2:9" x14ac:dyDescent="0.3">
      <c r="B32" s="1" t="s">
        <v>271</v>
      </c>
    </row>
  </sheetData>
  <mergeCells count="1">
    <mergeCell ref="A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2036-0F58-4080-BABA-601CB7126F5D}">
  <sheetPr>
    <pageSetUpPr fitToPage="1"/>
  </sheetPr>
  <dimension ref="A1:F81"/>
  <sheetViews>
    <sheetView workbookViewId="0">
      <selection activeCell="A6" sqref="A6"/>
    </sheetView>
  </sheetViews>
  <sheetFormatPr defaultRowHeight="14.4" x14ac:dyDescent="0.3"/>
  <cols>
    <col min="1" max="1" width="85.6640625" style="43" customWidth="1"/>
    <col min="2" max="6" width="15.6640625" style="43" customWidth="1"/>
    <col min="7" max="16384" width="8.88671875" style="43"/>
  </cols>
  <sheetData>
    <row r="1" spans="1:6" ht="15" customHeight="1" thickBot="1" x14ac:dyDescent="0.35">
      <c r="A1" s="41" t="s">
        <v>163</v>
      </c>
      <c r="B1" s="42"/>
      <c r="C1" s="42"/>
      <c r="D1" s="42"/>
      <c r="E1" s="42"/>
      <c r="F1" s="42"/>
    </row>
    <row r="2" spans="1:6" ht="15" customHeight="1" thickTop="1" x14ac:dyDescent="0.3">
      <c r="A2" s="44" t="s">
        <v>164</v>
      </c>
      <c r="B2" s="45" t="s">
        <v>165</v>
      </c>
    </row>
    <row r="3" spans="1:6" x14ac:dyDescent="0.3">
      <c r="A3" s="44" t="s">
        <v>166</v>
      </c>
      <c r="B3" s="44" t="s">
        <v>167</v>
      </c>
    </row>
    <row r="4" spans="1:6" x14ac:dyDescent="0.3">
      <c r="A4" s="44" t="s">
        <v>168</v>
      </c>
      <c r="B4" s="44" t="s">
        <v>169</v>
      </c>
    </row>
    <row r="5" spans="1:6" x14ac:dyDescent="0.3">
      <c r="A5" s="46" t="s">
        <v>281</v>
      </c>
      <c r="B5" s="47" t="s">
        <v>170</v>
      </c>
      <c r="C5" s="47" t="s">
        <v>171</v>
      </c>
      <c r="D5" s="47" t="s">
        <v>172</v>
      </c>
      <c r="E5" s="47" t="s">
        <v>173</v>
      </c>
      <c r="F5" s="47" t="s">
        <v>174</v>
      </c>
    </row>
    <row r="6" spans="1:6" ht="15" customHeight="1" x14ac:dyDescent="0.3">
      <c r="A6" s="48" t="s">
        <v>175</v>
      </c>
      <c r="B6" s="49"/>
      <c r="C6" s="49"/>
      <c r="D6" s="49"/>
      <c r="E6" s="49"/>
      <c r="F6" s="49"/>
    </row>
    <row r="7" spans="1:6" ht="15" customHeight="1" x14ac:dyDescent="0.3">
      <c r="A7" s="50" t="s">
        <v>176</v>
      </c>
      <c r="B7" s="51">
        <v>11174</v>
      </c>
      <c r="C7" s="51">
        <v>11509</v>
      </c>
      <c r="D7" s="52">
        <v>9596</v>
      </c>
      <c r="E7" s="51">
        <v>17196</v>
      </c>
      <c r="F7" s="51">
        <v>12372</v>
      </c>
    </row>
    <row r="8" spans="1:6" ht="15" customHeight="1" x14ac:dyDescent="0.3">
      <c r="A8" s="50" t="s">
        <v>177</v>
      </c>
      <c r="B8" s="52">
        <v>7545</v>
      </c>
      <c r="C8" s="52">
        <v>6962</v>
      </c>
      <c r="D8" s="52">
        <v>9292</v>
      </c>
      <c r="E8" s="52">
        <v>700</v>
      </c>
      <c r="F8" s="52">
        <v>5774</v>
      </c>
    </row>
    <row r="9" spans="1:6" ht="15" customHeight="1" x14ac:dyDescent="0.3">
      <c r="A9" s="53" t="s">
        <v>178</v>
      </c>
      <c r="B9" s="54">
        <v>-1249</v>
      </c>
      <c r="C9" s="54">
        <v>-1120</v>
      </c>
      <c r="D9" s="54">
        <v>-1040</v>
      </c>
      <c r="E9" s="54">
        <v>-8651</v>
      </c>
      <c r="F9" s="54">
        <v>-1815</v>
      </c>
    </row>
    <row r="10" spans="1:6" ht="15" customHeight="1" x14ac:dyDescent="0.3">
      <c r="A10" s="53" t="s">
        <v>179</v>
      </c>
      <c r="B10" s="52">
        <v>3314</v>
      </c>
      <c r="C10" s="52">
        <v>2314</v>
      </c>
      <c r="D10" s="52">
        <v>2730</v>
      </c>
      <c r="E10" s="52">
        <v>2261</v>
      </c>
      <c r="F10" s="52">
        <v>3365</v>
      </c>
    </row>
    <row r="11" spans="1:6" ht="15" customHeight="1" x14ac:dyDescent="0.3">
      <c r="A11" s="53" t="s">
        <v>180</v>
      </c>
      <c r="B11" s="52">
        <v>1485</v>
      </c>
      <c r="C11" s="52">
        <v>1360</v>
      </c>
      <c r="D11" s="52">
        <v>1040</v>
      </c>
      <c r="E11" s="52">
        <v>873</v>
      </c>
      <c r="F11" s="52">
        <v>874</v>
      </c>
    </row>
    <row r="12" spans="1:6" ht="15" customHeight="1" x14ac:dyDescent="0.3">
      <c r="A12" s="53" t="s">
        <v>181</v>
      </c>
      <c r="B12" s="54">
        <v>-340</v>
      </c>
      <c r="C12" s="55">
        <v>-71</v>
      </c>
      <c r="D12" s="56">
        <v>99</v>
      </c>
      <c r="E12" s="52">
        <v>351</v>
      </c>
      <c r="F12" s="52">
        <v>814</v>
      </c>
    </row>
    <row r="13" spans="1:6" ht="15" customHeight="1" x14ac:dyDescent="0.3">
      <c r="A13" s="53" t="s">
        <v>182</v>
      </c>
      <c r="B13" s="52">
        <v>4162</v>
      </c>
      <c r="C13" s="52">
        <v>4105</v>
      </c>
      <c r="D13" s="52">
        <v>6267</v>
      </c>
      <c r="E13" s="52">
        <v>6054</v>
      </c>
      <c r="F13" s="52">
        <v>4176</v>
      </c>
    </row>
    <row r="14" spans="1:6" ht="15" customHeight="1" x14ac:dyDescent="0.3">
      <c r="A14" s="57" t="s">
        <v>183</v>
      </c>
      <c r="B14" s="52">
        <v>3110</v>
      </c>
      <c r="C14" s="52">
        <v>2993</v>
      </c>
      <c r="D14" s="52">
        <v>3097</v>
      </c>
      <c r="E14" s="52">
        <v>3056</v>
      </c>
      <c r="F14" s="52">
        <v>3127</v>
      </c>
    </row>
    <row r="15" spans="1:6" ht="15" customHeight="1" x14ac:dyDescent="0.3">
      <c r="A15" s="57" t="s">
        <v>184</v>
      </c>
      <c r="B15" s="52">
        <v>580</v>
      </c>
      <c r="C15" s="52">
        <v>647</v>
      </c>
      <c r="D15" s="52">
        <v>2726</v>
      </c>
      <c r="E15" s="52">
        <v>2614</v>
      </c>
      <c r="F15" s="52">
        <v>711</v>
      </c>
    </row>
    <row r="16" spans="1:6" ht="15" customHeight="1" x14ac:dyDescent="0.3">
      <c r="A16" s="57" t="s">
        <v>185</v>
      </c>
      <c r="B16" s="52">
        <v>472</v>
      </c>
      <c r="C16" s="52">
        <v>465</v>
      </c>
      <c r="D16" s="52">
        <v>444</v>
      </c>
      <c r="E16" s="52">
        <v>384</v>
      </c>
      <c r="F16" s="52">
        <v>338</v>
      </c>
    </row>
    <row r="17" spans="1:6" ht="15" customHeight="1" x14ac:dyDescent="0.3">
      <c r="A17" s="53" t="s">
        <v>186</v>
      </c>
      <c r="B17" s="56">
        <v>57</v>
      </c>
      <c r="C17" s="52">
        <v>232</v>
      </c>
      <c r="D17" s="56">
        <v>68</v>
      </c>
      <c r="E17" s="54">
        <v>-318</v>
      </c>
      <c r="F17" s="54">
        <v>-1763</v>
      </c>
    </row>
    <row r="18" spans="1:6" ht="15" customHeight="1" x14ac:dyDescent="0.3">
      <c r="A18" s="53" t="s">
        <v>187</v>
      </c>
      <c r="B18" s="52">
        <v>116</v>
      </c>
      <c r="C18" s="52">
        <v>142</v>
      </c>
      <c r="D18" s="52">
        <v>128</v>
      </c>
      <c r="E18" s="52">
        <v>130</v>
      </c>
      <c r="F18" s="52">
        <v>123</v>
      </c>
    </row>
    <row r="19" spans="1:6" ht="15" customHeight="1" x14ac:dyDescent="0.3">
      <c r="A19" s="50" t="s">
        <v>188</v>
      </c>
      <c r="B19" s="52">
        <v>2411</v>
      </c>
      <c r="C19" s="52">
        <v>2801</v>
      </c>
      <c r="D19" s="52">
        <v>3107</v>
      </c>
      <c r="E19" s="52">
        <v>2722</v>
      </c>
      <c r="F19" s="52">
        <v>2645</v>
      </c>
    </row>
    <row r="20" spans="1:6" ht="15" customHeight="1" x14ac:dyDescent="0.3">
      <c r="A20" s="50" t="s">
        <v>189</v>
      </c>
      <c r="B20" s="52">
        <v>1539</v>
      </c>
      <c r="C20" s="52">
        <v>1330</v>
      </c>
      <c r="D20" s="52">
        <v>953</v>
      </c>
      <c r="E20" s="52">
        <v>753</v>
      </c>
      <c r="F20" s="52">
        <v>815</v>
      </c>
    </row>
    <row r="21" spans="1:6" ht="15" customHeight="1" x14ac:dyDescent="0.3">
      <c r="A21" s="50" t="s">
        <v>190</v>
      </c>
      <c r="B21" s="52">
        <v>1032</v>
      </c>
      <c r="C21" s="52">
        <v>892</v>
      </c>
      <c r="D21" s="52">
        <v>726</v>
      </c>
      <c r="E21" s="56">
        <v>43</v>
      </c>
      <c r="F21" s="56">
        <v>76</v>
      </c>
    </row>
    <row r="22" spans="1:6" ht="15" customHeight="1" x14ac:dyDescent="0.3">
      <c r="A22" s="50" t="s">
        <v>191</v>
      </c>
      <c r="B22" s="51">
        <v>15801</v>
      </c>
      <c r="C22" s="51">
        <v>15232</v>
      </c>
      <c r="D22" s="51">
        <v>15554</v>
      </c>
      <c r="E22" s="51">
        <v>14464</v>
      </c>
      <c r="F22" s="51">
        <v>14762</v>
      </c>
    </row>
    <row r="23" spans="1:6" ht="15" customHeight="1" x14ac:dyDescent="0.3">
      <c r="A23" s="50" t="s">
        <v>192</v>
      </c>
      <c r="B23" s="52">
        <v>874</v>
      </c>
      <c r="C23" s="52">
        <v>709</v>
      </c>
      <c r="D23" s="54">
        <v>-3647</v>
      </c>
      <c r="E23" s="54">
        <v>-600</v>
      </c>
      <c r="F23" s="54">
        <v>-385</v>
      </c>
    </row>
    <row r="24" spans="1:6" ht="15" customHeight="1" x14ac:dyDescent="0.3">
      <c r="A24" s="53" t="s">
        <v>193</v>
      </c>
      <c r="B24" s="54">
        <v>-355</v>
      </c>
      <c r="C24" s="54">
        <v>-1027</v>
      </c>
      <c r="D24" s="54">
        <v>-321</v>
      </c>
      <c r="E24" s="54">
        <v>-824</v>
      </c>
      <c r="F24" s="56">
        <v>36</v>
      </c>
    </row>
    <row r="25" spans="1:6" ht="15" customHeight="1" x14ac:dyDescent="0.3">
      <c r="A25" s="53" t="s">
        <v>194</v>
      </c>
      <c r="B25" s="54">
        <v>-1256</v>
      </c>
      <c r="C25" s="52">
        <v>1756</v>
      </c>
      <c r="D25" s="54">
        <v>-3428</v>
      </c>
      <c r="E25" s="54">
        <v>-1414</v>
      </c>
      <c r="F25" s="54">
        <v>-1740</v>
      </c>
    </row>
    <row r="26" spans="1:6" ht="15" customHeight="1" x14ac:dyDescent="0.3">
      <c r="A26" s="53" t="s">
        <v>195</v>
      </c>
      <c r="B26" s="55">
        <v>-20</v>
      </c>
      <c r="C26" s="55">
        <v>-11</v>
      </c>
      <c r="D26" s="56">
        <v>9</v>
      </c>
      <c r="E26" s="55">
        <v>-94</v>
      </c>
      <c r="F26" s="55">
        <v>-4</v>
      </c>
    </row>
    <row r="27" spans="1:6" ht="15" customHeight="1" x14ac:dyDescent="0.3">
      <c r="A27" s="53" t="s">
        <v>196</v>
      </c>
      <c r="B27" s="52">
        <v>2676</v>
      </c>
      <c r="C27" s="56">
        <v>65</v>
      </c>
      <c r="D27" s="52">
        <v>492</v>
      </c>
      <c r="E27" s="52">
        <v>2115</v>
      </c>
      <c r="F27" s="52">
        <v>1193</v>
      </c>
    </row>
    <row r="28" spans="1:6" ht="15" customHeight="1" x14ac:dyDescent="0.3">
      <c r="A28" s="53" t="s">
        <v>197</v>
      </c>
      <c r="B28" s="52">
        <v>163</v>
      </c>
      <c r="C28" s="52">
        <v>351</v>
      </c>
      <c r="D28" s="52">
        <v>115</v>
      </c>
      <c r="E28" s="56">
        <v>44</v>
      </c>
      <c r="F28" s="52">
        <v>829</v>
      </c>
    </row>
    <row r="29" spans="1:6" ht="15" customHeight="1" x14ac:dyDescent="0.3">
      <c r="A29" s="53" t="s">
        <v>198</v>
      </c>
      <c r="B29" s="55">
        <v>-61</v>
      </c>
      <c r="C29" s="52">
        <v>369</v>
      </c>
      <c r="D29" s="52">
        <v>143</v>
      </c>
      <c r="E29" s="52">
        <v>148</v>
      </c>
      <c r="F29" s="54">
        <v>-248</v>
      </c>
    </row>
    <row r="30" spans="1:6" ht="15" customHeight="1" x14ac:dyDescent="0.3">
      <c r="A30" s="53" t="s">
        <v>199</v>
      </c>
      <c r="B30" s="54">
        <v>-273</v>
      </c>
      <c r="C30" s="54">
        <v>-794</v>
      </c>
      <c r="D30" s="54">
        <v>-657</v>
      </c>
      <c r="E30" s="54">
        <v>-575</v>
      </c>
      <c r="F30" s="54">
        <v>-451</v>
      </c>
    </row>
    <row r="31" spans="1:6" ht="15" customHeight="1" x14ac:dyDescent="0.3">
      <c r="A31" s="58" t="s">
        <v>200</v>
      </c>
      <c r="B31" s="59">
        <v>16675</v>
      </c>
      <c r="C31" s="59">
        <v>15941</v>
      </c>
      <c r="D31" s="59">
        <v>11907</v>
      </c>
      <c r="E31" s="59">
        <v>13864</v>
      </c>
      <c r="F31" s="59">
        <v>14377</v>
      </c>
    </row>
    <row r="32" spans="1:6" ht="15" customHeight="1" x14ac:dyDescent="0.3">
      <c r="A32" s="48" t="s">
        <v>201</v>
      </c>
      <c r="B32" s="49"/>
      <c r="C32" s="49"/>
      <c r="D32" s="49"/>
      <c r="E32" s="49"/>
      <c r="F32" s="49"/>
    </row>
    <row r="33" spans="1:6" ht="15" customHeight="1" x14ac:dyDescent="0.3">
      <c r="A33" s="50" t="s">
        <v>202</v>
      </c>
      <c r="B33" s="52">
        <v>5963</v>
      </c>
      <c r="C33" s="52">
        <v>6203</v>
      </c>
      <c r="D33" s="52">
        <v>5361</v>
      </c>
      <c r="E33" s="52">
        <v>5341</v>
      </c>
      <c r="F33" s="52">
        <v>4364</v>
      </c>
    </row>
    <row r="34" spans="1:6" ht="15" customHeight="1" x14ac:dyDescent="0.3">
      <c r="A34" s="53" t="s">
        <v>203</v>
      </c>
      <c r="B34" s="52">
        <v>5638</v>
      </c>
      <c r="C34" s="52">
        <v>5714</v>
      </c>
      <c r="D34" s="52">
        <v>5095</v>
      </c>
      <c r="E34" s="52">
        <v>4880</v>
      </c>
      <c r="F34" s="52">
        <v>4076</v>
      </c>
    </row>
    <row r="35" spans="1:6" ht="15" customHeight="1" x14ac:dyDescent="0.3">
      <c r="A35" s="57" t="s">
        <v>204</v>
      </c>
      <c r="B35" s="52">
        <v>5638</v>
      </c>
      <c r="C35" s="52">
        <v>5714</v>
      </c>
      <c r="D35" s="52">
        <v>5095</v>
      </c>
      <c r="E35" s="52">
        <v>4880</v>
      </c>
      <c r="F35" s="52">
        <v>4076</v>
      </c>
    </row>
    <row r="36" spans="1:6" ht="15" customHeight="1" x14ac:dyDescent="0.3">
      <c r="A36" s="53" t="s">
        <v>205</v>
      </c>
      <c r="B36" s="52">
        <v>325</v>
      </c>
      <c r="C36" s="52">
        <v>489</v>
      </c>
      <c r="D36" s="52">
        <v>266</v>
      </c>
      <c r="E36" s="52">
        <v>461</v>
      </c>
      <c r="F36" s="52">
        <v>288</v>
      </c>
    </row>
    <row r="37" spans="1:6" ht="15" customHeight="1" x14ac:dyDescent="0.3">
      <c r="A37" s="57" t="s">
        <v>206</v>
      </c>
      <c r="B37" s="52">
        <v>325</v>
      </c>
      <c r="C37" s="52">
        <v>489</v>
      </c>
      <c r="D37" s="52">
        <v>266</v>
      </c>
      <c r="E37" s="52">
        <v>461</v>
      </c>
      <c r="F37" s="52">
        <v>288</v>
      </c>
    </row>
    <row r="38" spans="1:6" ht="15" customHeight="1" x14ac:dyDescent="0.3">
      <c r="A38" s="53" t="s">
        <v>207</v>
      </c>
      <c r="B38" s="52">
        <v>5963</v>
      </c>
      <c r="C38" s="52">
        <v>6203</v>
      </c>
      <c r="D38" s="52">
        <v>5361</v>
      </c>
      <c r="E38" s="52">
        <v>5341</v>
      </c>
      <c r="F38" s="52">
        <v>4364</v>
      </c>
    </row>
    <row r="39" spans="1:6" ht="15" customHeight="1" x14ac:dyDescent="0.3">
      <c r="A39" s="50" t="s">
        <v>208</v>
      </c>
      <c r="B39" s="54">
        <v>-832</v>
      </c>
      <c r="C39" s="56">
        <v>4</v>
      </c>
      <c r="D39" s="54">
        <v>-1550</v>
      </c>
      <c r="E39" s="54">
        <v>-2864</v>
      </c>
      <c r="F39" s="54">
        <v>-604</v>
      </c>
    </row>
    <row r="40" spans="1:6" ht="15" customHeight="1" x14ac:dyDescent="0.3">
      <c r="A40" s="53" t="s">
        <v>209</v>
      </c>
      <c r="B40" s="52">
        <v>832</v>
      </c>
      <c r="C40" s="52">
        <v>211</v>
      </c>
      <c r="D40" s="52">
        <v>1710</v>
      </c>
      <c r="E40" s="52">
        <v>6394</v>
      </c>
      <c r="F40" s="52">
        <v>4520</v>
      </c>
    </row>
    <row r="41" spans="1:6" ht="15" customHeight="1" x14ac:dyDescent="0.3">
      <c r="A41" s="53" t="s">
        <v>210</v>
      </c>
      <c r="B41" s="51"/>
      <c r="C41" s="52">
        <v>215</v>
      </c>
      <c r="D41" s="52">
        <v>160</v>
      </c>
      <c r="E41" s="52">
        <v>3530</v>
      </c>
      <c r="F41" s="52">
        <v>3916</v>
      </c>
    </row>
    <row r="42" spans="1:6" ht="15" customHeight="1" x14ac:dyDescent="0.3">
      <c r="A42" s="50" t="s">
        <v>211</v>
      </c>
      <c r="B42" s="54">
        <v>-1251</v>
      </c>
      <c r="C42" s="55">
        <v>-80</v>
      </c>
      <c r="D42" s="52">
        <v>5902</v>
      </c>
      <c r="E42" s="54">
        <v>-3610</v>
      </c>
      <c r="F42" s="54">
        <v>-749</v>
      </c>
    </row>
    <row r="43" spans="1:6" ht="15" customHeight="1" x14ac:dyDescent="0.3">
      <c r="A43" s="53" t="s">
        <v>212</v>
      </c>
      <c r="B43" s="54">
        <v>-1251</v>
      </c>
      <c r="C43" s="55">
        <v>-80</v>
      </c>
      <c r="D43" s="52">
        <v>5902</v>
      </c>
      <c r="E43" s="54">
        <v>-3610</v>
      </c>
      <c r="F43" s="54">
        <v>-749</v>
      </c>
    </row>
    <row r="44" spans="1:6" ht="15" customHeight="1" x14ac:dyDescent="0.3">
      <c r="A44" s="50" t="s">
        <v>213</v>
      </c>
      <c r="B44" s="54">
        <v>-532</v>
      </c>
      <c r="C44" s="54">
        <v>-582</v>
      </c>
      <c r="D44" s="54">
        <v>-918</v>
      </c>
      <c r="E44" s="52">
        <v>8579</v>
      </c>
      <c r="F44" s="54">
        <v>-182</v>
      </c>
    </row>
    <row r="45" spans="1:6" ht="15" customHeight="1" x14ac:dyDescent="0.3">
      <c r="A45" s="50" t="s">
        <v>214</v>
      </c>
      <c r="B45" s="55">
        <v>-46</v>
      </c>
      <c r="C45" s="52">
        <v>665</v>
      </c>
      <c r="D45" s="56">
        <v>24</v>
      </c>
      <c r="E45" s="52">
        <v>192</v>
      </c>
      <c r="F45" s="52">
        <v>232</v>
      </c>
    </row>
    <row r="46" spans="1:6" ht="15" customHeight="1" x14ac:dyDescent="0.3">
      <c r="A46" s="58" t="s">
        <v>215</v>
      </c>
      <c r="B46" s="60">
        <v>-8624</v>
      </c>
      <c r="C46" s="60">
        <v>-6196</v>
      </c>
      <c r="D46" s="60">
        <v>-1903</v>
      </c>
      <c r="E46" s="60">
        <v>-3044</v>
      </c>
      <c r="F46" s="60">
        <v>-5667</v>
      </c>
    </row>
    <row r="47" spans="1:6" ht="15" customHeight="1" x14ac:dyDescent="0.3">
      <c r="A47" s="48" t="s">
        <v>216</v>
      </c>
      <c r="B47" s="49"/>
      <c r="C47" s="49"/>
      <c r="D47" s="49"/>
      <c r="E47" s="49"/>
      <c r="F47" s="49"/>
    </row>
    <row r="48" spans="1:6" ht="15" customHeight="1" x14ac:dyDescent="0.3">
      <c r="A48" s="50" t="s">
        <v>217</v>
      </c>
      <c r="B48" s="52">
        <v>7816</v>
      </c>
      <c r="C48" s="52">
        <v>7829</v>
      </c>
      <c r="D48" s="52">
        <v>7618</v>
      </c>
      <c r="E48" s="52">
        <v>7681</v>
      </c>
      <c r="F48" s="52">
        <v>7700</v>
      </c>
    </row>
    <row r="49" spans="1:6" ht="15" customHeight="1" x14ac:dyDescent="0.3">
      <c r="A49" s="53" t="s">
        <v>218</v>
      </c>
      <c r="B49" s="52">
        <v>7816</v>
      </c>
      <c r="C49" s="52">
        <v>7829</v>
      </c>
      <c r="D49" s="52">
        <v>7618</v>
      </c>
      <c r="E49" s="52">
        <v>7681</v>
      </c>
      <c r="F49" s="52">
        <v>7700</v>
      </c>
    </row>
    <row r="50" spans="1:6" ht="15" customHeight="1" x14ac:dyDescent="0.3">
      <c r="A50" s="50" t="s">
        <v>219</v>
      </c>
      <c r="B50" s="54">
        <v>-4678</v>
      </c>
      <c r="C50" s="54">
        <v>-5234</v>
      </c>
      <c r="D50" s="61">
        <v>-10679</v>
      </c>
      <c r="E50" s="54">
        <v>-6548</v>
      </c>
      <c r="F50" s="54">
        <v>-6814</v>
      </c>
    </row>
    <row r="51" spans="1:6" ht="15" customHeight="1" x14ac:dyDescent="0.3">
      <c r="A51" s="53" t="s">
        <v>220</v>
      </c>
      <c r="B51" s="54">
        <v>-4678</v>
      </c>
      <c r="C51" s="54">
        <v>-5234</v>
      </c>
      <c r="D51" s="61">
        <v>-10679</v>
      </c>
      <c r="E51" s="54">
        <v>-6548</v>
      </c>
      <c r="F51" s="54">
        <v>-6814</v>
      </c>
    </row>
    <row r="52" spans="1:6" ht="15" customHeight="1" x14ac:dyDescent="0.3">
      <c r="A52" s="57" t="s">
        <v>221</v>
      </c>
      <c r="B52" s="54">
        <v>-4678</v>
      </c>
      <c r="C52" s="54">
        <v>-5234</v>
      </c>
      <c r="D52" s="61">
        <v>-10679</v>
      </c>
      <c r="E52" s="54">
        <v>-6548</v>
      </c>
      <c r="F52" s="54">
        <v>-6814</v>
      </c>
    </row>
    <row r="53" spans="1:6" ht="15" customHeight="1" x14ac:dyDescent="0.3">
      <c r="A53" s="62" t="s">
        <v>222</v>
      </c>
      <c r="B53" s="52">
        <v>4678</v>
      </c>
      <c r="C53" s="52">
        <v>5234</v>
      </c>
      <c r="D53" s="51">
        <v>10679</v>
      </c>
      <c r="E53" s="52">
        <v>6548</v>
      </c>
      <c r="F53" s="52">
        <v>6814</v>
      </c>
    </row>
    <row r="54" spans="1:6" ht="15" customHeight="1" x14ac:dyDescent="0.3">
      <c r="A54" s="50" t="s">
        <v>223</v>
      </c>
      <c r="B54" s="55">
        <v>-27</v>
      </c>
      <c r="C54" s="55">
        <v>-52</v>
      </c>
      <c r="D54" s="54">
        <v>-605</v>
      </c>
      <c r="E54" s="54">
        <v>-601</v>
      </c>
      <c r="F54" s="55">
        <v>-1</v>
      </c>
    </row>
    <row r="55" spans="1:6" ht="15" customHeight="1" x14ac:dyDescent="0.3">
      <c r="A55" s="50" t="s">
        <v>224</v>
      </c>
      <c r="B55" s="52">
        <v>5333</v>
      </c>
      <c r="C55" s="52">
        <v>3680</v>
      </c>
      <c r="D55" s="52">
        <v>7801</v>
      </c>
      <c r="E55" s="52">
        <v>5980</v>
      </c>
      <c r="F55" s="52">
        <v>4401</v>
      </c>
    </row>
    <row r="56" spans="1:6" ht="15" customHeight="1" x14ac:dyDescent="0.3">
      <c r="A56" s="53" t="s">
        <v>225</v>
      </c>
      <c r="B56" s="52">
        <v>2396</v>
      </c>
      <c r="C56" s="54">
        <v>-2537</v>
      </c>
      <c r="D56" s="52">
        <v>148</v>
      </c>
      <c r="E56" s="54">
        <v>-885</v>
      </c>
      <c r="F56" s="54">
        <v>-2747</v>
      </c>
    </row>
    <row r="57" spans="1:6" ht="15" customHeight="1" x14ac:dyDescent="0.3">
      <c r="A57" s="53" t="s">
        <v>226</v>
      </c>
      <c r="B57" s="52">
        <v>2937</v>
      </c>
      <c r="C57" s="52">
        <v>6217</v>
      </c>
      <c r="D57" s="52">
        <v>7653</v>
      </c>
      <c r="E57" s="52">
        <v>6865</v>
      </c>
      <c r="F57" s="52">
        <v>7148</v>
      </c>
    </row>
    <row r="58" spans="1:6" ht="15" customHeight="1" x14ac:dyDescent="0.3">
      <c r="A58" s="57" t="s">
        <v>227</v>
      </c>
      <c r="B58" s="52">
        <v>7992</v>
      </c>
      <c r="C58" s="52">
        <v>9806</v>
      </c>
      <c r="D58" s="51">
        <v>10936</v>
      </c>
      <c r="E58" s="51">
        <v>11339</v>
      </c>
      <c r="F58" s="51">
        <v>10330</v>
      </c>
    </row>
    <row r="59" spans="1:6" ht="15" customHeight="1" x14ac:dyDescent="0.3">
      <c r="A59" s="57" t="s">
        <v>228</v>
      </c>
      <c r="B59" s="52">
        <v>5055</v>
      </c>
      <c r="C59" s="52">
        <v>3589</v>
      </c>
      <c r="D59" s="52">
        <v>3283</v>
      </c>
      <c r="E59" s="52">
        <v>4474</v>
      </c>
      <c r="F59" s="52">
        <v>3182</v>
      </c>
    </row>
    <row r="60" spans="1:6" ht="15" customHeight="1" x14ac:dyDescent="0.3">
      <c r="A60" s="50" t="s">
        <v>229</v>
      </c>
      <c r="B60" s="54">
        <v>-174</v>
      </c>
      <c r="C60" s="54">
        <v>-323</v>
      </c>
      <c r="D60" s="54">
        <v>-284</v>
      </c>
      <c r="E60" s="54">
        <v>-302</v>
      </c>
      <c r="F60" s="54">
        <v>-268</v>
      </c>
    </row>
    <row r="61" spans="1:6" ht="15" customHeight="1" x14ac:dyDescent="0.3">
      <c r="A61" s="58" t="s">
        <v>230</v>
      </c>
      <c r="B61" s="60">
        <v>-7362</v>
      </c>
      <c r="C61" s="60">
        <v>-9758</v>
      </c>
      <c r="D61" s="63">
        <v>-11385</v>
      </c>
      <c r="E61" s="60">
        <v>-9152</v>
      </c>
      <c r="F61" s="63">
        <v>-10382</v>
      </c>
    </row>
    <row r="62" spans="1:6" ht="15" customHeight="1" x14ac:dyDescent="0.3">
      <c r="A62" s="48" t="s">
        <v>231</v>
      </c>
      <c r="B62" s="49"/>
      <c r="C62" s="49"/>
      <c r="D62" s="49"/>
      <c r="E62" s="49"/>
      <c r="F62" s="49"/>
    </row>
    <row r="63" spans="1:6" ht="15" customHeight="1" x14ac:dyDescent="0.3">
      <c r="A63" s="50" t="s">
        <v>232</v>
      </c>
      <c r="B63" s="56">
        <v>53</v>
      </c>
      <c r="C63" s="54">
        <v>-682</v>
      </c>
      <c r="D63" s="54">
        <v>-100</v>
      </c>
      <c r="E63" s="56">
        <v>89</v>
      </c>
      <c r="F63" s="54">
        <v>-562</v>
      </c>
    </row>
    <row r="64" spans="1:6" ht="15" customHeight="1" x14ac:dyDescent="0.3">
      <c r="A64" s="48" t="s">
        <v>233</v>
      </c>
      <c r="B64" s="49"/>
      <c r="C64" s="49"/>
      <c r="D64" s="49"/>
      <c r="E64" s="49"/>
      <c r="F64" s="49"/>
    </row>
    <row r="65" spans="1:6" ht="15" customHeight="1" x14ac:dyDescent="0.3">
      <c r="A65" s="58" t="s">
        <v>234</v>
      </c>
      <c r="B65" s="64">
        <v>742</v>
      </c>
      <c r="C65" s="60">
        <v>-695</v>
      </c>
      <c r="D65" s="60">
        <v>-1481</v>
      </c>
      <c r="E65" s="64">
        <v>1757</v>
      </c>
      <c r="F65" s="60">
        <v>-2234</v>
      </c>
    </row>
    <row r="66" spans="1:6" ht="15" customHeight="1" x14ac:dyDescent="0.3">
      <c r="A66" s="53" t="s">
        <v>235</v>
      </c>
      <c r="B66" s="52">
        <v>742</v>
      </c>
      <c r="C66" s="54">
        <v>-695</v>
      </c>
      <c r="D66" s="54">
        <v>-1481</v>
      </c>
      <c r="E66" s="52">
        <v>1757</v>
      </c>
      <c r="F66" s="54">
        <v>-2234</v>
      </c>
    </row>
    <row r="67" spans="1:6" ht="15" customHeight="1" x14ac:dyDescent="0.3">
      <c r="A67" s="50" t="s">
        <v>236</v>
      </c>
      <c r="B67" s="52">
        <v>4816</v>
      </c>
      <c r="C67" s="52">
        <v>5511</v>
      </c>
      <c r="D67" s="52">
        <v>6992</v>
      </c>
      <c r="E67" s="52">
        <v>5235</v>
      </c>
      <c r="F67" s="52">
        <v>7469</v>
      </c>
    </row>
    <row r="68" spans="1:6" ht="15" customHeight="1" x14ac:dyDescent="0.3">
      <c r="A68" s="50" t="s">
        <v>237</v>
      </c>
      <c r="B68" s="52">
        <v>5558</v>
      </c>
      <c r="C68" s="52">
        <v>4816</v>
      </c>
      <c r="D68" s="52">
        <v>5511</v>
      </c>
      <c r="E68" s="52">
        <v>6992</v>
      </c>
      <c r="F68" s="52">
        <v>5235</v>
      </c>
    </row>
    <row r="69" spans="1:6" ht="15" customHeight="1" x14ac:dyDescent="0.3">
      <c r="A69" s="48" t="s">
        <v>238</v>
      </c>
      <c r="B69" s="49"/>
      <c r="C69" s="49"/>
      <c r="D69" s="49"/>
      <c r="E69" s="49"/>
      <c r="F69" s="49"/>
    </row>
    <row r="70" spans="1:6" ht="15" customHeight="1" x14ac:dyDescent="0.3">
      <c r="A70" s="50" t="s">
        <v>239</v>
      </c>
      <c r="B70" s="52">
        <v>2411</v>
      </c>
      <c r="C70" s="52">
        <v>2801</v>
      </c>
      <c r="D70" s="52">
        <v>3107</v>
      </c>
      <c r="E70" s="52">
        <v>2722</v>
      </c>
      <c r="F70" s="52">
        <v>2645</v>
      </c>
    </row>
    <row r="71" spans="1:6" ht="15" customHeight="1" x14ac:dyDescent="0.3">
      <c r="A71" s="50" t="s">
        <v>240</v>
      </c>
      <c r="B71" s="52">
        <v>1539</v>
      </c>
      <c r="C71" s="52">
        <v>1330</v>
      </c>
      <c r="D71" s="52">
        <v>953</v>
      </c>
      <c r="E71" s="52">
        <v>753</v>
      </c>
      <c r="F71" s="52">
        <v>815</v>
      </c>
    </row>
    <row r="72" spans="1:6" ht="15" customHeight="1" x14ac:dyDescent="0.3">
      <c r="A72" s="50" t="s">
        <v>241</v>
      </c>
      <c r="B72" s="52">
        <v>1032</v>
      </c>
      <c r="C72" s="52">
        <v>892</v>
      </c>
      <c r="D72" s="52">
        <v>726</v>
      </c>
      <c r="E72" s="56">
        <v>43</v>
      </c>
      <c r="F72" s="56">
        <v>76</v>
      </c>
    </row>
    <row r="73" spans="1:6" ht="15" customHeight="1" x14ac:dyDescent="0.3">
      <c r="A73" s="50" t="s">
        <v>242</v>
      </c>
      <c r="B73" s="51">
        <v>17340</v>
      </c>
      <c r="C73" s="51">
        <v>16562</v>
      </c>
      <c r="D73" s="51">
        <v>16507</v>
      </c>
      <c r="E73" s="51">
        <v>15217</v>
      </c>
      <c r="F73" s="51">
        <v>15577</v>
      </c>
    </row>
    <row r="74" spans="1:6" ht="15" customHeight="1" x14ac:dyDescent="0.3">
      <c r="A74" s="50" t="s">
        <v>243</v>
      </c>
      <c r="B74" s="51">
        <v>10666</v>
      </c>
      <c r="C74" s="51">
        <v>10403</v>
      </c>
      <c r="D74" s="52">
        <v>6570</v>
      </c>
      <c r="E74" s="51"/>
      <c r="F74" s="51"/>
    </row>
    <row r="75" spans="1:6" ht="15" customHeight="1" x14ac:dyDescent="0.3">
      <c r="A75" s="50" t="s">
        <v>244</v>
      </c>
      <c r="B75" s="51">
        <v>12494</v>
      </c>
      <c r="C75" s="51">
        <v>13063</v>
      </c>
      <c r="D75" s="51">
        <v>18297</v>
      </c>
      <c r="E75" s="51">
        <v>14229</v>
      </c>
      <c r="F75" s="51">
        <v>14514</v>
      </c>
    </row>
    <row r="76" spans="1:6" ht="15" customHeight="1" x14ac:dyDescent="0.3">
      <c r="A76" s="50" t="s">
        <v>245</v>
      </c>
      <c r="B76" s="52">
        <v>4678</v>
      </c>
      <c r="C76" s="52">
        <v>5234</v>
      </c>
      <c r="D76" s="51">
        <v>10679</v>
      </c>
      <c r="E76" s="52">
        <v>6548</v>
      </c>
      <c r="F76" s="52">
        <v>6814</v>
      </c>
    </row>
    <row r="77" spans="1:6" ht="15" customHeight="1" x14ac:dyDescent="0.3">
      <c r="A77" s="50" t="s">
        <v>246</v>
      </c>
      <c r="B77" s="52">
        <v>3582</v>
      </c>
      <c r="C77" s="52">
        <v>3458</v>
      </c>
      <c r="D77" s="52">
        <v>3541</v>
      </c>
      <c r="E77" s="52">
        <v>3440</v>
      </c>
      <c r="F77" s="52">
        <v>3465</v>
      </c>
    </row>
    <row r="78" spans="1:6" ht="15" customHeight="1" x14ac:dyDescent="0.3">
      <c r="A78" s="50" t="s">
        <v>247</v>
      </c>
      <c r="B78" s="51">
        <v>16045</v>
      </c>
      <c r="C78" s="51">
        <v>13418</v>
      </c>
      <c r="D78" s="51">
        <v>14347</v>
      </c>
      <c r="E78" s="51">
        <v>14503</v>
      </c>
      <c r="F78" s="51">
        <v>14414</v>
      </c>
    </row>
    <row r="79" spans="1:6" ht="15" customHeight="1" x14ac:dyDescent="0.3">
      <c r="A79" s="50" t="s">
        <v>248</v>
      </c>
      <c r="B79" s="52">
        <v>2896</v>
      </c>
      <c r="C79" s="52">
        <v>1909</v>
      </c>
      <c r="D79" s="54">
        <v>-1072</v>
      </c>
      <c r="E79" s="52">
        <v>842</v>
      </c>
      <c r="F79" s="52">
        <v>2313</v>
      </c>
    </row>
    <row r="80" spans="1:6" ht="15" customHeight="1" x14ac:dyDescent="0.3">
      <c r="A80" s="50" t="s">
        <v>249</v>
      </c>
      <c r="B80" s="51">
        <v>10712</v>
      </c>
      <c r="C80" s="52">
        <v>9738</v>
      </c>
      <c r="D80" s="52">
        <v>6546</v>
      </c>
      <c r="E80" s="52">
        <v>8523</v>
      </c>
      <c r="F80" s="51">
        <v>10013</v>
      </c>
    </row>
    <row r="81" spans="1:6" ht="15" customHeight="1" x14ac:dyDescent="0.3">
      <c r="A81" s="50" t="s">
        <v>250</v>
      </c>
      <c r="B81" s="52">
        <v>7991</v>
      </c>
      <c r="C81" s="52">
        <v>8010</v>
      </c>
      <c r="D81" s="52">
        <v>8112.5</v>
      </c>
      <c r="E81" s="52">
        <v>7882</v>
      </c>
      <c r="F81" s="52">
        <v>7922.75</v>
      </c>
    </row>
  </sheetData>
  <pageMargins left="0.5" right="0.5" top="1" bottom="1" header="0.5" footer="0.7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27C7-D503-44A3-BA06-A5917260F349}">
  <dimension ref="A1:H137"/>
  <sheetViews>
    <sheetView topLeftCell="A4" zoomScale="75" zoomScaleNormal="75" workbookViewId="0">
      <selection activeCell="B91" sqref="B91"/>
    </sheetView>
  </sheetViews>
  <sheetFormatPr defaultColWidth="8.77734375" defaultRowHeight="14.4" x14ac:dyDescent="0.3"/>
  <cols>
    <col min="2" max="2" width="18.88671875" bestFit="1" customWidth="1"/>
    <col min="3" max="3" width="14.77734375" customWidth="1"/>
    <col min="4" max="4" width="18.77734375" bestFit="1" customWidth="1"/>
    <col min="5" max="5" width="16.21875" bestFit="1" customWidth="1"/>
    <col min="6" max="6" width="10.6640625" customWidth="1"/>
    <col min="7" max="7" width="11.44140625" customWidth="1"/>
    <col min="8" max="8" width="10.21875" bestFit="1" customWidth="1"/>
    <col min="13" max="13" width="8.77734375" customWidth="1"/>
  </cols>
  <sheetData>
    <row r="1" spans="1:8" x14ac:dyDescent="0.3">
      <c r="A1" s="1" t="s">
        <v>71</v>
      </c>
    </row>
    <row r="3" spans="1:8" x14ac:dyDescent="0.3">
      <c r="A3" s="1" t="s">
        <v>94</v>
      </c>
      <c r="B3" s="1" t="s">
        <v>3</v>
      </c>
      <c r="C3" s="1" t="s">
        <v>158</v>
      </c>
      <c r="D3" s="1" t="s">
        <v>157</v>
      </c>
      <c r="E3" s="1" t="s">
        <v>24</v>
      </c>
      <c r="F3" s="1" t="s">
        <v>71</v>
      </c>
      <c r="G3" s="1" t="s">
        <v>72</v>
      </c>
      <c r="H3" s="1" t="s">
        <v>73</v>
      </c>
    </row>
    <row r="4" spans="1:8" x14ac:dyDescent="0.3">
      <c r="A4">
        <v>2020</v>
      </c>
      <c r="B4">
        <f>'Balance Sheet'!G16</f>
        <v>34068</v>
      </c>
      <c r="C4">
        <f>'Balance Sheet'!G8</f>
        <v>5235</v>
      </c>
      <c r="D4">
        <f>'Balance Sheet'!G10</f>
        <v>10101</v>
      </c>
      <c r="E4">
        <f>'Balance Sheet'!G42</f>
        <v>39722</v>
      </c>
      <c r="F4" s="19">
        <f>B4/E4</f>
        <v>0.85766074215799804</v>
      </c>
      <c r="G4" s="19">
        <f>(B4-D4)/E4</f>
        <v>0.60336841045264589</v>
      </c>
      <c r="H4" s="19">
        <f>C4/E4</f>
        <v>0.13179094708222144</v>
      </c>
    </row>
    <row r="5" spans="1:8" x14ac:dyDescent="0.3">
      <c r="A5">
        <v>2021</v>
      </c>
      <c r="B5">
        <f>'Balance Sheet'!F16</f>
        <v>39257</v>
      </c>
      <c r="C5">
        <f>'Balance Sheet'!F8</f>
        <v>6988</v>
      </c>
      <c r="D5">
        <f>'Balance Sheet'!F10</f>
        <v>11982</v>
      </c>
      <c r="E5">
        <f>'Balance Sheet'!F42</f>
        <v>40020</v>
      </c>
      <c r="F5" s="19">
        <f>B5/E5</f>
        <v>0.98093453273363318</v>
      </c>
      <c r="G5" s="19">
        <f>(B5-D5)/E5</f>
        <v>0.68153423288355819</v>
      </c>
      <c r="H5" s="19">
        <f>C5/E5</f>
        <v>0.17461269365317342</v>
      </c>
    </row>
    <row r="6" spans="1:8" x14ac:dyDescent="0.3">
      <c r="A6">
        <v>2022</v>
      </c>
      <c r="B6">
        <f>'Balance Sheet'!E16</f>
        <v>35062</v>
      </c>
      <c r="C6">
        <f>'Balance Sheet'!E8</f>
        <v>5511</v>
      </c>
      <c r="D6">
        <f>'Balance Sheet'!E10</f>
        <v>15019</v>
      </c>
      <c r="E6">
        <f>'Balance Sheet'!E42</f>
        <v>39976</v>
      </c>
      <c r="F6" s="19">
        <f>B6/E6</f>
        <v>0.87707624574744847</v>
      </c>
      <c r="G6" s="19">
        <f>(B6-D6)/E6</f>
        <v>0.50137582549529713</v>
      </c>
      <c r="H6" s="19">
        <f>C6/E6</f>
        <v>0.13785771462877727</v>
      </c>
    </row>
    <row r="7" spans="1:8" x14ac:dyDescent="0.3">
      <c r="A7">
        <v>2023</v>
      </c>
      <c r="B7">
        <f>'Balance Sheet'!D16</f>
        <v>30857</v>
      </c>
      <c r="C7">
        <f>'Balance Sheet'!D8</f>
        <v>4816</v>
      </c>
      <c r="D7">
        <f>'Balance Sheet'!D10</f>
        <v>11896</v>
      </c>
      <c r="E7">
        <f>'Balance Sheet'!D42</f>
        <v>37084</v>
      </c>
      <c r="F7" s="19">
        <f>B7/E7</f>
        <v>0.83208391759249267</v>
      </c>
      <c r="G7" s="19">
        <f>(B7-D7)/E7</f>
        <v>0.51129867328227807</v>
      </c>
      <c r="H7" s="19">
        <f>C7/E7</f>
        <v>0.12986732822780714</v>
      </c>
    </row>
    <row r="8" spans="1:8" x14ac:dyDescent="0.3">
      <c r="A8">
        <v>2024</v>
      </c>
      <c r="B8">
        <f>'Balance Sheet'!C16</f>
        <v>35188</v>
      </c>
      <c r="C8">
        <f>'Balance Sheet'!C8</f>
        <v>5556</v>
      </c>
      <c r="D8">
        <f>'Balance Sheet'!C10</f>
        <v>13260</v>
      </c>
      <c r="E8">
        <f>'Balance Sheet'!C42</f>
        <v>42863</v>
      </c>
      <c r="F8" s="19">
        <f>B8/E8</f>
        <v>0.82094113804446722</v>
      </c>
      <c r="G8" s="19">
        <f>(B8-D8)/E8</f>
        <v>0.51158341693301912</v>
      </c>
      <c r="H8" s="19">
        <f>C8/E8</f>
        <v>0.12962228495438957</v>
      </c>
    </row>
    <row r="11" spans="1:8" x14ac:dyDescent="0.3">
      <c r="A11" s="1" t="s">
        <v>72</v>
      </c>
    </row>
    <row r="13" spans="1:8" x14ac:dyDescent="0.3">
      <c r="A13" s="1" t="s">
        <v>94</v>
      </c>
      <c r="B13" s="1" t="s">
        <v>156</v>
      </c>
      <c r="C13" s="1" t="s">
        <v>24</v>
      </c>
      <c r="D13" s="1" t="s">
        <v>134</v>
      </c>
    </row>
    <row r="14" spans="1:8" x14ac:dyDescent="0.3">
      <c r="A14">
        <v>2020</v>
      </c>
      <c r="B14">
        <f>'Balance Sheet'!G16-'Balance Sheet'!G10</f>
        <v>23967</v>
      </c>
      <c r="C14">
        <f>'Balance Sheet'!G42</f>
        <v>39722</v>
      </c>
      <c r="D14" s="19">
        <f>B14/C14</f>
        <v>0.60336841045264589</v>
      </c>
    </row>
    <row r="15" spans="1:8" x14ac:dyDescent="0.3">
      <c r="A15">
        <v>2021</v>
      </c>
      <c r="B15">
        <f>'Balance Sheet'!F16-'Balance Sheet'!F10</f>
        <v>27275</v>
      </c>
      <c r="C15">
        <f>'Balance Sheet'!F42</f>
        <v>40020</v>
      </c>
      <c r="D15" s="19">
        <f>B15/C15</f>
        <v>0.68153423288355819</v>
      </c>
    </row>
    <row r="16" spans="1:8" x14ac:dyDescent="0.3">
      <c r="A16">
        <v>2022</v>
      </c>
      <c r="B16">
        <f>'Balance Sheet'!E16-'Balance Sheet'!E10</f>
        <v>20043</v>
      </c>
      <c r="C16">
        <f>'Balance Sheet'!E42</f>
        <v>39976</v>
      </c>
      <c r="D16" s="19">
        <f>B16/C16</f>
        <v>0.50137582549529713</v>
      </c>
    </row>
    <row r="17" spans="1:4" x14ac:dyDescent="0.3">
      <c r="A17">
        <v>2023</v>
      </c>
      <c r="B17">
        <f>'Balance Sheet'!D16-'Balance Sheet'!D10</f>
        <v>18961</v>
      </c>
      <c r="C17">
        <f>'Balance Sheet'!D42</f>
        <v>37084</v>
      </c>
      <c r="D17" s="19">
        <f>B17/C17</f>
        <v>0.51129867328227807</v>
      </c>
    </row>
    <row r="18" spans="1:4" x14ac:dyDescent="0.3">
      <c r="A18">
        <v>2024</v>
      </c>
      <c r="B18">
        <f>'Balance Sheet'!C16-'Balance Sheet'!C10</f>
        <v>21928</v>
      </c>
      <c r="C18">
        <f>'Balance Sheet'!C42</f>
        <v>42863</v>
      </c>
      <c r="D18" s="19">
        <f>B18/C18</f>
        <v>0.51158341693301912</v>
      </c>
    </row>
    <row r="21" spans="1:4" x14ac:dyDescent="0.3">
      <c r="A21" s="1" t="s">
        <v>73</v>
      </c>
    </row>
    <row r="22" spans="1:4" x14ac:dyDescent="0.3">
      <c r="A22" s="1" t="s">
        <v>94</v>
      </c>
      <c r="B22" s="1" t="s">
        <v>95</v>
      </c>
      <c r="C22" s="1" t="s">
        <v>24</v>
      </c>
      <c r="D22" s="1" t="s">
        <v>73</v>
      </c>
    </row>
    <row r="23" spans="1:4" x14ac:dyDescent="0.3">
      <c r="A23">
        <v>2020</v>
      </c>
      <c r="B23">
        <f>'Balance Sheet'!G8</f>
        <v>5235</v>
      </c>
      <c r="C23">
        <f>'Balance Sheet'!G42</f>
        <v>39722</v>
      </c>
      <c r="D23" s="19">
        <f>B23/C23</f>
        <v>0.13179094708222144</v>
      </c>
    </row>
    <row r="24" spans="1:4" x14ac:dyDescent="0.3">
      <c r="A24">
        <v>2021</v>
      </c>
      <c r="B24">
        <f>'Balance Sheet'!F8</f>
        <v>6988</v>
      </c>
      <c r="C24">
        <f>'Balance Sheet'!F42</f>
        <v>40020</v>
      </c>
      <c r="D24" s="19">
        <f>B24/C24</f>
        <v>0.17461269365317342</v>
      </c>
    </row>
    <row r="25" spans="1:4" x14ac:dyDescent="0.3">
      <c r="A25">
        <v>2022</v>
      </c>
      <c r="B25">
        <f>'Balance Sheet'!E8</f>
        <v>5511</v>
      </c>
      <c r="C25">
        <f>'Balance Sheet'!E42</f>
        <v>39976</v>
      </c>
      <c r="D25" s="19">
        <f>B25/C25</f>
        <v>0.13785771462877727</v>
      </c>
    </row>
    <row r="26" spans="1:4" x14ac:dyDescent="0.3">
      <c r="A26">
        <v>2023</v>
      </c>
      <c r="B26">
        <f>'Balance Sheet'!D8</f>
        <v>4816</v>
      </c>
      <c r="C26">
        <f>'Balance Sheet'!D42</f>
        <v>37084</v>
      </c>
      <c r="D26" s="19">
        <f>B26/C26</f>
        <v>0.12986732822780714</v>
      </c>
    </row>
    <row r="27" spans="1:4" x14ac:dyDescent="0.3">
      <c r="A27">
        <v>2024</v>
      </c>
      <c r="B27">
        <f>'Balance Sheet'!C8</f>
        <v>5556</v>
      </c>
      <c r="C27">
        <f>'Balance Sheet'!C42</f>
        <v>42863</v>
      </c>
      <c r="D27" s="19">
        <f>B27/C27</f>
        <v>0.12962228495438957</v>
      </c>
    </row>
    <row r="30" spans="1:4" x14ac:dyDescent="0.3">
      <c r="A30" s="1" t="s">
        <v>76</v>
      </c>
    </row>
    <row r="31" spans="1:4" x14ac:dyDescent="0.3">
      <c r="A31" s="1" t="s">
        <v>94</v>
      </c>
      <c r="B31" s="1" t="s">
        <v>115</v>
      </c>
      <c r="C31" s="1" t="s">
        <v>96</v>
      </c>
      <c r="D31" s="1" t="s">
        <v>97</v>
      </c>
    </row>
    <row r="32" spans="1:4" x14ac:dyDescent="0.3">
      <c r="A32">
        <v>2020</v>
      </c>
      <c r="B32">
        <f>('Balance Sheet'!G35+'Balance Sheet'!G45)</f>
        <v>39947</v>
      </c>
      <c r="C32">
        <f>'Balance Sheet'!G63</f>
        <v>46514</v>
      </c>
      <c r="D32" s="19">
        <f>B32/C32</f>
        <v>0.85881670034828228</v>
      </c>
    </row>
    <row r="33" spans="1:4" x14ac:dyDescent="0.3">
      <c r="A33">
        <v>2021</v>
      </c>
      <c r="B33">
        <f>('Balance Sheet'!F35+'Balance Sheet'!F45)</f>
        <v>46574</v>
      </c>
      <c r="C33">
        <f>'Balance Sheet'!F63</f>
        <v>53727</v>
      </c>
      <c r="D33" s="19">
        <f>B33/C33</f>
        <v>0.86686396039235392</v>
      </c>
    </row>
    <row r="34" spans="1:4" x14ac:dyDescent="0.3">
      <c r="A34">
        <v>2022</v>
      </c>
      <c r="B34">
        <f>('Balance Sheet'!E35+'Balance Sheet'!E45)</f>
        <v>54312</v>
      </c>
      <c r="C34">
        <f>'Balance Sheet'!E63</f>
        <v>42792</v>
      </c>
      <c r="D34" s="19">
        <f>B34/C34</f>
        <v>1.269209197980931</v>
      </c>
    </row>
    <row r="35" spans="1:4" x14ac:dyDescent="0.3">
      <c r="A35">
        <v>2023</v>
      </c>
      <c r="B35">
        <f>('Balance Sheet'!D35+'Balance Sheet'!D45)</f>
        <v>55241</v>
      </c>
      <c r="C35">
        <f>'Balance Sheet'!D63</f>
        <v>36387</v>
      </c>
      <c r="D35" s="19">
        <f>B35/C35</f>
        <v>1.51815208728392</v>
      </c>
    </row>
    <row r="36" spans="1:4" x14ac:dyDescent="0.3">
      <c r="A36">
        <v>2024</v>
      </c>
      <c r="B36">
        <f>('Balance Sheet'!C35+'Balance Sheet'!C45)</f>
        <v>63560</v>
      </c>
      <c r="C36">
        <f>'Balance Sheet'!C63</f>
        <v>36693</v>
      </c>
      <c r="D36" s="19">
        <f>B36/C36</f>
        <v>1.7322105033657647</v>
      </c>
    </row>
    <row r="39" spans="1:4" x14ac:dyDescent="0.3">
      <c r="A39" s="1" t="s">
        <v>99</v>
      </c>
    </row>
    <row r="40" spans="1:4" x14ac:dyDescent="0.3">
      <c r="A40" s="1" t="s">
        <v>94</v>
      </c>
      <c r="B40" s="1" t="s">
        <v>98</v>
      </c>
      <c r="C40" s="1" t="s">
        <v>111</v>
      </c>
      <c r="D40" s="1" t="s">
        <v>77</v>
      </c>
    </row>
    <row r="41" spans="1:4" x14ac:dyDescent="0.3">
      <c r="A41">
        <v>2020</v>
      </c>
      <c r="B41">
        <f>'Profit and Loss'!G4</f>
        <v>84343</v>
      </c>
      <c r="C41">
        <f>'Balance Sheet'!G30</f>
        <v>124028</v>
      </c>
      <c r="D41" s="19">
        <f>B41/C41</f>
        <v>0.68003192827426062</v>
      </c>
    </row>
    <row r="42" spans="1:4" x14ac:dyDescent="0.3">
      <c r="A42">
        <v>2021</v>
      </c>
      <c r="B42">
        <f>'Profit and Loss'!F4</f>
        <v>87088</v>
      </c>
      <c r="C42">
        <f>'Balance Sheet'!F30</f>
        <v>139142</v>
      </c>
      <c r="D42" s="19">
        <f>B42/C42</f>
        <v>0.62589297264664878</v>
      </c>
    </row>
    <row r="43" spans="1:4" x14ac:dyDescent="0.3">
      <c r="A43">
        <v>2022</v>
      </c>
      <c r="B43">
        <f>'Profit and Loss'!E4</f>
        <v>94424</v>
      </c>
      <c r="C43">
        <f>'Balance Sheet'!E30</f>
        <v>135182</v>
      </c>
      <c r="D43" s="19">
        <f>B43/C43</f>
        <v>0.69849536180852478</v>
      </c>
    </row>
    <row r="44" spans="1:4" x14ac:dyDescent="0.3">
      <c r="A44">
        <v>2023</v>
      </c>
      <c r="B44">
        <f>'Profit and Loss'!D4</f>
        <v>92998</v>
      </c>
      <c r="C44">
        <f>'Balance Sheet'!D30</f>
        <v>126550</v>
      </c>
      <c r="D44" s="19">
        <f>B44/C44</f>
        <v>0.73487159225602527</v>
      </c>
    </row>
    <row r="45" spans="1:4" x14ac:dyDescent="0.3">
      <c r="A45">
        <v>2024</v>
      </c>
      <c r="B45">
        <f>'Profit and Loss'!C4</f>
        <v>91354</v>
      </c>
      <c r="C45">
        <f>'Balance Sheet'!C30</f>
        <v>139264</v>
      </c>
      <c r="D45" s="19">
        <f>B45/C45</f>
        <v>0.65597713694852944</v>
      </c>
    </row>
    <row r="47" spans="1:4" ht="13.95" customHeight="1" x14ac:dyDescent="0.3">
      <c r="A47" s="1" t="s">
        <v>100</v>
      </c>
    </row>
    <row r="48" spans="1:4" x14ac:dyDescent="0.3">
      <c r="A48" s="26" t="s">
        <v>94</v>
      </c>
      <c r="B48" s="1" t="s">
        <v>101</v>
      </c>
      <c r="C48" s="1" t="s">
        <v>102</v>
      </c>
      <c r="D48" s="1" t="s">
        <v>79</v>
      </c>
    </row>
    <row r="49" spans="1:4" x14ac:dyDescent="0.3">
      <c r="A49" s="21">
        <v>2020</v>
      </c>
      <c r="B49">
        <f>ABS('Profit and Loss'!G6)</f>
        <v>42971</v>
      </c>
      <c r="C49">
        <f>'Balance Sheet'!G10+'Balance Sheet'!H10</f>
        <v>19444</v>
      </c>
      <c r="D49" s="19">
        <f>B49/C49</f>
        <v>2.2099876568607284</v>
      </c>
    </row>
    <row r="50" spans="1:4" x14ac:dyDescent="0.3">
      <c r="A50" s="21">
        <v>2021</v>
      </c>
      <c r="B50">
        <f>ABS('Profit and Loss'!F6)</f>
        <v>45468</v>
      </c>
      <c r="C50">
        <f>'Balance Sheet'!F10+'Balance Sheet'!G10</f>
        <v>22083</v>
      </c>
      <c r="D50" s="19">
        <f>B50/C50</f>
        <v>2.0589593805189512</v>
      </c>
    </row>
    <row r="51" spans="1:4" x14ac:dyDescent="0.3">
      <c r="A51" s="21">
        <v>2022</v>
      </c>
      <c r="B51">
        <f>ABS('Profit and Loss'!E6)</f>
        <v>51745</v>
      </c>
      <c r="C51">
        <f>'Balance Sheet'!E10+'Balance Sheet'!F10</f>
        <v>27001</v>
      </c>
      <c r="D51" s="19">
        <f>B51/C51</f>
        <v>1.9164105033146921</v>
      </c>
    </row>
    <row r="52" spans="1:4" x14ac:dyDescent="0.3">
      <c r="A52" s="21">
        <v>2023</v>
      </c>
      <c r="B52">
        <f>ABS('Profit and Loss'!D6)</f>
        <v>50328</v>
      </c>
      <c r="C52">
        <f>'Balance Sheet'!D10+'Balance Sheet'!E10</f>
        <v>26915</v>
      </c>
      <c r="D52" s="19">
        <f>B52/C52</f>
        <v>1.8698866802898013</v>
      </c>
    </row>
    <row r="53" spans="1:4" x14ac:dyDescent="0.3">
      <c r="A53" s="21">
        <v>2024</v>
      </c>
      <c r="B53">
        <f>ABS('Profit and Loss'!C6)</f>
        <v>48670</v>
      </c>
      <c r="C53">
        <f>'Balance Sheet'!C10+'Balance Sheet'!D10</f>
        <v>25156</v>
      </c>
      <c r="D53" s="19">
        <f>B53/C53</f>
        <v>1.9347273016377802</v>
      </c>
    </row>
    <row r="55" spans="1:4" x14ac:dyDescent="0.3">
      <c r="A55" s="1" t="s">
        <v>66</v>
      </c>
    </row>
    <row r="56" spans="1:4" x14ac:dyDescent="0.3">
      <c r="A56" s="26" t="s">
        <v>94</v>
      </c>
      <c r="B56" s="1" t="s">
        <v>104</v>
      </c>
      <c r="C56" s="1" t="s">
        <v>103</v>
      </c>
      <c r="D56" s="1" t="s">
        <v>135</v>
      </c>
    </row>
    <row r="57" spans="1:4" x14ac:dyDescent="0.3">
      <c r="A57" s="21">
        <v>2020</v>
      </c>
      <c r="B57">
        <f>'Profit and Loss'!G12</f>
        <v>14233</v>
      </c>
      <c r="C57">
        <f>'Profit and Loss'!G4</f>
        <v>84343</v>
      </c>
      <c r="D57" s="25">
        <f>B57/C57</f>
        <v>0.16875140794138221</v>
      </c>
    </row>
    <row r="58" spans="1:4" x14ac:dyDescent="0.3">
      <c r="A58" s="21">
        <v>2021</v>
      </c>
      <c r="B58">
        <f>'Profit and Loss'!F12</f>
        <v>12159</v>
      </c>
      <c r="C58">
        <f>'Profit and Loss'!F4</f>
        <v>87088</v>
      </c>
      <c r="D58" s="25">
        <f>B58/C58</f>
        <v>0.13961739849347787</v>
      </c>
    </row>
    <row r="59" spans="1:4" x14ac:dyDescent="0.3">
      <c r="A59" s="21">
        <v>2022</v>
      </c>
      <c r="B59">
        <f>'Profit and Loss'!E12</f>
        <v>13195</v>
      </c>
      <c r="C59">
        <f>'Profit and Loss'!E4</f>
        <v>94424</v>
      </c>
      <c r="D59" s="25">
        <f>B59/C59</f>
        <v>0.13974201474201475</v>
      </c>
    </row>
    <row r="60" spans="1:4" x14ac:dyDescent="0.3">
      <c r="A60" s="21">
        <v>2023</v>
      </c>
      <c r="B60">
        <f>'Profit and Loss'!D12</f>
        <v>14520</v>
      </c>
      <c r="C60">
        <f>'Profit and Loss'!D4</f>
        <v>92998</v>
      </c>
      <c r="D60" s="25">
        <f>B60/C60</f>
        <v>0.15613238994386977</v>
      </c>
    </row>
    <row r="61" spans="1:4" x14ac:dyDescent="0.3">
      <c r="A61" s="21">
        <v>2024</v>
      </c>
      <c r="B61">
        <f>'Profit and Loss'!C12</f>
        <v>14633</v>
      </c>
      <c r="C61">
        <f>'Profit and Loss'!C4</f>
        <v>91354</v>
      </c>
      <c r="D61" s="25">
        <f>B61/C61</f>
        <v>0.16017908356503274</v>
      </c>
    </row>
    <row r="64" spans="1:4" x14ac:dyDescent="0.3">
      <c r="A64" s="1" t="s">
        <v>67</v>
      </c>
    </row>
    <row r="65" spans="1:4" x14ac:dyDescent="0.3">
      <c r="A65" s="26" t="s">
        <v>94</v>
      </c>
      <c r="B65" s="1" t="s">
        <v>141</v>
      </c>
      <c r="C65" s="1" t="s">
        <v>106</v>
      </c>
      <c r="D65" s="1" t="s">
        <v>136</v>
      </c>
    </row>
    <row r="66" spans="1:4" x14ac:dyDescent="0.3">
      <c r="A66" s="21">
        <v>2020</v>
      </c>
      <c r="B66">
        <f>'Profit and Loss'!G21</f>
        <v>12372</v>
      </c>
      <c r="C66">
        <f>'Profit and Loss'!G4</f>
        <v>84343</v>
      </c>
      <c r="D66" s="25">
        <f>B66/C66</f>
        <v>0.14668674341676249</v>
      </c>
    </row>
    <row r="67" spans="1:4" x14ac:dyDescent="0.3">
      <c r="A67" s="21">
        <v>2021</v>
      </c>
      <c r="B67">
        <f>'Profit and Loss'!F21</f>
        <v>17196</v>
      </c>
      <c r="C67">
        <f>'Profit and Loss'!F4</f>
        <v>87088</v>
      </c>
      <c r="D67" s="25">
        <f>B67/C67</f>
        <v>0.19745544736358625</v>
      </c>
    </row>
    <row r="68" spans="1:4" x14ac:dyDescent="0.3">
      <c r="A68" s="21">
        <v>2022</v>
      </c>
      <c r="B68">
        <f>'Profit and Loss'!E21</f>
        <v>9596</v>
      </c>
      <c r="C68">
        <f>'Profit and Loss'!E4</f>
        <v>94424</v>
      </c>
      <c r="D68" s="25">
        <f>B68/C68</f>
        <v>0.10162670507498094</v>
      </c>
    </row>
    <row r="69" spans="1:4" x14ac:dyDescent="0.3">
      <c r="A69" s="21">
        <v>2023</v>
      </c>
      <c r="B69">
        <f>'Profit and Loss'!D21</f>
        <v>11509</v>
      </c>
      <c r="C69">
        <f>'Profit and Loss'!D4</f>
        <v>92998</v>
      </c>
      <c r="D69" s="25">
        <f>B69/C69</f>
        <v>0.12375534957741027</v>
      </c>
    </row>
    <row r="70" spans="1:4" x14ac:dyDescent="0.3">
      <c r="A70" s="21">
        <v>2024</v>
      </c>
      <c r="B70">
        <f>'Profit and Loss'!C21</f>
        <v>11174</v>
      </c>
      <c r="C70">
        <f>'Profit and Loss'!C4</f>
        <v>91354</v>
      </c>
      <c r="D70" s="25">
        <f>B70/C70</f>
        <v>0.12231538848873613</v>
      </c>
    </row>
    <row r="71" spans="1:4" x14ac:dyDescent="0.3">
      <c r="D71" s="19"/>
    </row>
    <row r="72" spans="1:4" x14ac:dyDescent="0.3">
      <c r="A72" s="1" t="s">
        <v>107</v>
      </c>
      <c r="D72" s="19"/>
    </row>
    <row r="73" spans="1:4" x14ac:dyDescent="0.3">
      <c r="A73" s="22" t="s">
        <v>94</v>
      </c>
      <c r="B73" s="23" t="s">
        <v>252</v>
      </c>
      <c r="C73" s="23" t="s">
        <v>108</v>
      </c>
      <c r="D73" s="23" t="s">
        <v>137</v>
      </c>
    </row>
    <row r="74" spans="1:4" x14ac:dyDescent="0.3">
      <c r="A74" s="21">
        <v>2020</v>
      </c>
      <c r="B74">
        <f>'Profit and Loss'!G24</f>
        <v>12232</v>
      </c>
      <c r="C74">
        <f>'Balance Sheet'!G61</f>
        <v>45695</v>
      </c>
      <c r="D74" s="25">
        <f>B74/C74</f>
        <v>0.26768793084582559</v>
      </c>
    </row>
    <row r="75" spans="1:4" x14ac:dyDescent="0.3">
      <c r="A75" s="21">
        <v>2021</v>
      </c>
      <c r="B75">
        <f>'Profit and Loss'!F24</f>
        <v>16905</v>
      </c>
      <c r="C75">
        <f>'Balance Sheet'!F61</f>
        <v>53140</v>
      </c>
      <c r="D75" s="25">
        <f>B75/C75</f>
        <v>0.31812194203989463</v>
      </c>
    </row>
    <row r="76" spans="1:4" x14ac:dyDescent="0.3">
      <c r="A76" s="21">
        <v>2022</v>
      </c>
      <c r="B76">
        <f>'Profit and Loss'!E24</f>
        <v>9270</v>
      </c>
      <c r="C76">
        <f>'Balance Sheet'!E61</f>
        <v>41982</v>
      </c>
      <c r="D76" s="25">
        <f>B76/C76</f>
        <v>0.22080891810776046</v>
      </c>
    </row>
    <row r="77" spans="1:4" x14ac:dyDescent="0.3">
      <c r="A77" s="21">
        <v>2023</v>
      </c>
      <c r="B77">
        <f>'Profit and Loss'!D24</f>
        <v>11209</v>
      </c>
      <c r="C77">
        <f>'Balance Sheet'!D61</f>
        <v>35742</v>
      </c>
      <c r="D77" s="25">
        <f>B77/C77</f>
        <v>0.31360863969559621</v>
      </c>
    </row>
    <row r="78" spans="1:4" x14ac:dyDescent="0.3">
      <c r="A78" s="21">
        <v>2024</v>
      </c>
      <c r="B78">
        <f>'Profit and Loss'!C24</f>
        <v>10884</v>
      </c>
      <c r="C78">
        <f>'Balance Sheet'!C61</f>
        <v>35917</v>
      </c>
      <c r="D78" s="25">
        <f>B78/C78</f>
        <v>0.30303199042236267</v>
      </c>
    </row>
    <row r="80" spans="1:4" x14ac:dyDescent="0.3">
      <c r="A80" s="1" t="s">
        <v>109</v>
      </c>
    </row>
    <row r="81" spans="1:4" x14ac:dyDescent="0.3">
      <c r="A81" s="26" t="s">
        <v>94</v>
      </c>
      <c r="B81" s="1" t="s">
        <v>138</v>
      </c>
      <c r="C81" s="1" t="s">
        <v>116</v>
      </c>
      <c r="D81" s="1" t="s">
        <v>139</v>
      </c>
    </row>
    <row r="82" spans="1:4" x14ac:dyDescent="0.3">
      <c r="A82" s="21">
        <v>2020</v>
      </c>
      <c r="B82">
        <f>'Profit and Loss'!G15</f>
        <v>14796</v>
      </c>
      <c r="C82">
        <f>'Balance Sheet'!G30-'Balance Sheet'!G42</f>
        <v>84306</v>
      </c>
      <c r="D82" s="25">
        <f>B82/C82</f>
        <v>0.17550352288093374</v>
      </c>
    </row>
    <row r="83" spans="1:4" x14ac:dyDescent="0.3">
      <c r="A83" s="21">
        <v>2021</v>
      </c>
      <c r="B83">
        <f>'Profit and Loss'!F15</f>
        <v>11679</v>
      </c>
      <c r="C83">
        <f>'Balance Sheet'!F30-'Balance Sheet'!F42</f>
        <v>99122</v>
      </c>
      <c r="D83" s="25">
        <f>B83/C83</f>
        <v>0.11782449910211658</v>
      </c>
    </row>
    <row r="84" spans="1:4" x14ac:dyDescent="0.3">
      <c r="A84" s="21">
        <v>2022</v>
      </c>
      <c r="B84">
        <f>'Profit and Loss'!E15</f>
        <v>12326</v>
      </c>
      <c r="C84">
        <f>'Balance Sheet'!E30-'Balance Sheet'!E42</f>
        <v>95206</v>
      </c>
      <c r="D84" s="25">
        <f>B84/C84</f>
        <v>0.12946663025439573</v>
      </c>
    </row>
    <row r="85" spans="1:4" x14ac:dyDescent="0.3">
      <c r="A85" s="21">
        <v>2023</v>
      </c>
      <c r="B85">
        <f>'Profit and Loss'!D15</f>
        <v>14063</v>
      </c>
      <c r="C85">
        <f>'Balance Sheet'!D30-'Balance Sheet'!D42</f>
        <v>89466</v>
      </c>
      <c r="D85" s="25">
        <f>B85/C85</f>
        <v>0.15718820557530236</v>
      </c>
    </row>
    <row r="86" spans="1:4" x14ac:dyDescent="0.3">
      <c r="A86" s="21">
        <v>2024</v>
      </c>
      <c r="B86">
        <f>'Profit and Loss'!C15</f>
        <v>14724</v>
      </c>
      <c r="C86">
        <f>'Balance Sheet'!C30-'Balance Sheet'!C42</f>
        <v>96401</v>
      </c>
      <c r="D86" s="25">
        <f>B86/C86</f>
        <v>0.15273700480285474</v>
      </c>
    </row>
    <row r="88" spans="1:4" x14ac:dyDescent="0.3">
      <c r="A88" s="1" t="s">
        <v>110</v>
      </c>
    </row>
    <row r="89" spans="1:4" x14ac:dyDescent="0.3">
      <c r="A89" s="26" t="s">
        <v>94</v>
      </c>
      <c r="B89" s="1" t="s">
        <v>105</v>
      </c>
      <c r="C89" s="1" t="s">
        <v>111</v>
      </c>
      <c r="D89" s="1" t="s">
        <v>140</v>
      </c>
    </row>
    <row r="90" spans="1:4" x14ac:dyDescent="0.3">
      <c r="A90" s="21">
        <v>2020</v>
      </c>
      <c r="B90">
        <f>'Profit and Loss'!G24</f>
        <v>12232</v>
      </c>
      <c r="C90">
        <f>'Balance Sheet'!G30</f>
        <v>124028</v>
      </c>
      <c r="D90" s="25">
        <f>B90/C90</f>
        <v>9.8622891605121429E-2</v>
      </c>
    </row>
    <row r="91" spans="1:4" x14ac:dyDescent="0.3">
      <c r="A91" s="21">
        <v>2021</v>
      </c>
      <c r="B91">
        <f>'Profit and Loss'!F24</f>
        <v>16905</v>
      </c>
      <c r="C91">
        <f>'Balance Sheet'!F30</f>
        <v>139142</v>
      </c>
      <c r="D91" s="25">
        <f>B91/C91</f>
        <v>0.1214945882623507</v>
      </c>
    </row>
    <row r="92" spans="1:4" x14ac:dyDescent="0.3">
      <c r="A92" s="21">
        <v>2022</v>
      </c>
      <c r="B92">
        <f>'Profit and Loss'!E24</f>
        <v>9270</v>
      </c>
      <c r="C92">
        <f>'Balance Sheet'!E30</f>
        <v>135182</v>
      </c>
      <c r="D92" s="25">
        <f>B92/C92</f>
        <v>6.8574218461037714E-2</v>
      </c>
    </row>
    <row r="93" spans="1:4" x14ac:dyDescent="0.3">
      <c r="A93" s="21">
        <v>2023</v>
      </c>
      <c r="B93">
        <f>'Profit and Loss'!D24</f>
        <v>11209</v>
      </c>
      <c r="C93">
        <f>'Balance Sheet'!D30</f>
        <v>126550</v>
      </c>
      <c r="D93" s="25">
        <f>B93/C93</f>
        <v>8.857368629000395E-2</v>
      </c>
    </row>
    <row r="94" spans="1:4" x14ac:dyDescent="0.3">
      <c r="A94" s="21">
        <v>2024</v>
      </c>
      <c r="B94">
        <f>'Profit and Loss'!C24</f>
        <v>10884</v>
      </c>
      <c r="C94">
        <f>'Balance Sheet'!C30</f>
        <v>139264</v>
      </c>
      <c r="D94" s="25">
        <f>B94/C94</f>
        <v>7.815372242647059E-2</v>
      </c>
    </row>
    <row r="97" spans="1:5" x14ac:dyDescent="0.3">
      <c r="A97" s="1" t="s">
        <v>70</v>
      </c>
    </row>
    <row r="98" spans="1:5" x14ac:dyDescent="0.3">
      <c r="A98" s="26" t="s">
        <v>94</v>
      </c>
      <c r="B98" s="1" t="s">
        <v>112</v>
      </c>
      <c r="C98" s="1" t="s">
        <v>113</v>
      </c>
      <c r="D98" s="1" t="s">
        <v>70</v>
      </c>
      <c r="E98" s="1" t="s">
        <v>86</v>
      </c>
    </row>
    <row r="99" spans="1:5" x14ac:dyDescent="0.3">
      <c r="A99" s="21">
        <v>2020</v>
      </c>
      <c r="B99">
        <f>'Profit and Loss'!G24</f>
        <v>12232</v>
      </c>
      <c r="C99">
        <f>'Balance Sheet'!G72</f>
        <v>2845</v>
      </c>
      <c r="D99" s="19">
        <f>B99/C99</f>
        <v>4.2994727592267132</v>
      </c>
      <c r="E99">
        <v>2.75</v>
      </c>
    </row>
    <row r="100" spans="1:5" x14ac:dyDescent="0.3">
      <c r="A100" s="21">
        <v>2021</v>
      </c>
      <c r="B100">
        <f>'Profit and Loss'!F24</f>
        <v>16905</v>
      </c>
      <c r="C100">
        <f>'Balance Sheet'!F73</f>
        <v>2791</v>
      </c>
      <c r="D100" s="19">
        <f>B100/C100</f>
        <v>6.0569688283769256</v>
      </c>
      <c r="E100">
        <v>2.8</v>
      </c>
    </row>
    <row r="101" spans="1:5" x14ac:dyDescent="0.3">
      <c r="A101" s="21">
        <v>2022</v>
      </c>
      <c r="B101">
        <f>'Profit and Loss'!E24</f>
        <v>9270</v>
      </c>
      <c r="C101">
        <f>'Balance Sheet'!E73</f>
        <v>2709</v>
      </c>
      <c r="D101" s="19">
        <f>B101/C101</f>
        <v>3.4219269102990033</v>
      </c>
      <c r="E101">
        <v>2.95</v>
      </c>
    </row>
    <row r="102" spans="1:5" x14ac:dyDescent="0.3">
      <c r="A102" s="21">
        <v>2023</v>
      </c>
      <c r="B102">
        <f>'Profit and Loss'!D24</f>
        <v>11209</v>
      </c>
      <c r="C102">
        <f>'Balance Sheet'!D73</f>
        <v>2648</v>
      </c>
      <c r="D102" s="19">
        <f>B102/C102</f>
        <v>4.2330060422960729</v>
      </c>
      <c r="E102" s="19">
        <v>3</v>
      </c>
    </row>
    <row r="103" spans="1:5" x14ac:dyDescent="0.3">
      <c r="A103" s="21">
        <v>2024</v>
      </c>
      <c r="B103">
        <f>'Profit and Loss'!C24</f>
        <v>10884</v>
      </c>
      <c r="C103">
        <f>'Balance Sheet'!C73</f>
        <v>2599</v>
      </c>
      <c r="D103" s="19">
        <f>B103/C103</f>
        <v>4.1877645248172373</v>
      </c>
      <c r="E103">
        <v>3.05</v>
      </c>
    </row>
    <row r="106" spans="1:5" x14ac:dyDescent="0.3">
      <c r="A106" s="1" t="s">
        <v>132</v>
      </c>
    </row>
    <row r="107" spans="1:5" x14ac:dyDescent="0.3">
      <c r="A107" s="23" t="s">
        <v>117</v>
      </c>
      <c r="B107" s="28" t="s">
        <v>118</v>
      </c>
      <c r="C107" s="28" t="s">
        <v>119</v>
      </c>
      <c r="D107" s="31" t="s">
        <v>155</v>
      </c>
    </row>
    <row r="108" spans="1:5" x14ac:dyDescent="0.3">
      <c r="A108" s="30">
        <v>2020</v>
      </c>
      <c r="B108" s="13">
        <f>'Profit and Loss'!G15</f>
        <v>14796</v>
      </c>
      <c r="C108" s="13">
        <f>'Profit and Loss'!H15</f>
        <v>16078</v>
      </c>
      <c r="D108" s="33">
        <f>(B108-C108)/C108</f>
        <v>-7.9736285607662646E-2</v>
      </c>
    </row>
    <row r="109" spans="1:5" x14ac:dyDescent="0.3">
      <c r="A109" s="30">
        <v>2021</v>
      </c>
      <c r="B109" s="13">
        <f>'Profit and Loss'!F15</f>
        <v>11679</v>
      </c>
      <c r="C109" s="13">
        <f>B108</f>
        <v>14796</v>
      </c>
      <c r="D109" s="33">
        <f>(B109-C109)/C109</f>
        <v>-0.21066504460665045</v>
      </c>
    </row>
    <row r="110" spans="1:5" x14ac:dyDescent="0.3">
      <c r="A110" s="30">
        <v>2022</v>
      </c>
      <c r="B110" s="13">
        <f>'Profit and Loss'!E15</f>
        <v>12326</v>
      </c>
      <c r="C110" s="13">
        <f t="shared" ref="C110:C112" si="0">B109</f>
        <v>11679</v>
      </c>
      <c r="D110" s="33">
        <f>(B110-C110)/C110</f>
        <v>5.5398578645431969E-2</v>
      </c>
    </row>
    <row r="111" spans="1:5" x14ac:dyDescent="0.3">
      <c r="A111" s="29">
        <v>2023</v>
      </c>
      <c r="B111" s="29">
        <f>'Profit and Loss'!D15</f>
        <v>14063</v>
      </c>
      <c r="C111" s="13">
        <f t="shared" si="0"/>
        <v>12326</v>
      </c>
      <c r="D111" s="33">
        <f>(B111-C111)/C111</f>
        <v>0.14092162907674835</v>
      </c>
    </row>
    <row r="112" spans="1:5" x14ac:dyDescent="0.3">
      <c r="A112" s="29">
        <v>2024</v>
      </c>
      <c r="B112" s="29">
        <f>'Profit and Loss'!C15</f>
        <v>14724</v>
      </c>
      <c r="C112" s="13">
        <f t="shared" si="0"/>
        <v>14063</v>
      </c>
      <c r="D112" s="33">
        <f>(B112-C112)/C112</f>
        <v>4.7002773234729435E-2</v>
      </c>
    </row>
    <row r="113" spans="1:7" x14ac:dyDescent="0.3">
      <c r="A113" s="21"/>
      <c r="B113" s="6"/>
      <c r="D113" s="19"/>
      <c r="E113" s="6"/>
    </row>
    <row r="114" spans="1:7" x14ac:dyDescent="0.3">
      <c r="A114" s="26" t="s">
        <v>120</v>
      </c>
      <c r="D114" s="24"/>
    </row>
    <row r="115" spans="1:7" x14ac:dyDescent="0.3">
      <c r="A115" t="s">
        <v>121</v>
      </c>
      <c r="B115" s="28" t="s">
        <v>118</v>
      </c>
      <c r="C115" s="28" t="s">
        <v>119</v>
      </c>
      <c r="D115" s="23" t="s">
        <v>122</v>
      </c>
      <c r="E115" s="6"/>
      <c r="F115" s="6"/>
    </row>
    <row r="116" spans="1:7" x14ac:dyDescent="0.3">
      <c r="A116" s="30">
        <v>2020</v>
      </c>
      <c r="B116">
        <f>'Profit and Loss'!G19</f>
        <v>15737</v>
      </c>
      <c r="C116" s="6">
        <f>'Profit and Loss'!H19</f>
        <v>16063</v>
      </c>
      <c r="D116" s="32">
        <f>(B116-C116)/C116</f>
        <v>-2.0295088090643093E-2</v>
      </c>
    </row>
    <row r="117" spans="1:7" x14ac:dyDescent="0.3">
      <c r="A117" s="30">
        <v>2021</v>
      </c>
      <c r="B117">
        <f>'Profit and Loss'!F19</f>
        <v>19457</v>
      </c>
      <c r="C117">
        <f>B116</f>
        <v>15737</v>
      </c>
      <c r="D117" s="25">
        <f>(B117-C117)/C117</f>
        <v>0.23638558810446719</v>
      </c>
    </row>
    <row r="118" spans="1:7" x14ac:dyDescent="0.3">
      <c r="A118" s="30">
        <v>2022</v>
      </c>
      <c r="B118">
        <f>'Profit and Loss'!E19</f>
        <v>12326</v>
      </c>
      <c r="C118">
        <f t="shared" ref="C118:C120" si="1">B117</f>
        <v>19457</v>
      </c>
      <c r="D118" s="27">
        <f>(B118-C118)/C118</f>
        <v>-0.36650048825615461</v>
      </c>
    </row>
    <row r="119" spans="1:7" x14ac:dyDescent="0.3">
      <c r="A119" s="29">
        <v>2023</v>
      </c>
      <c r="B119">
        <f>'Profit and Loss'!D19</f>
        <v>13823</v>
      </c>
      <c r="C119">
        <f t="shared" si="1"/>
        <v>12326</v>
      </c>
      <c r="D119" s="25">
        <f>(B119-C119)/C119</f>
        <v>0.121450592244037</v>
      </c>
    </row>
    <row r="120" spans="1:7" x14ac:dyDescent="0.3">
      <c r="A120" s="29">
        <v>2024</v>
      </c>
      <c r="B120" s="6">
        <f>'Profit and Loss'!C19</f>
        <v>14488</v>
      </c>
      <c r="C120">
        <f t="shared" si="1"/>
        <v>13823</v>
      </c>
      <c r="D120" s="25">
        <f>(B120-C120)/C120</f>
        <v>4.8108225421399115E-2</v>
      </c>
      <c r="E120" s="5"/>
      <c r="F120" s="5"/>
      <c r="G120" s="5"/>
    </row>
    <row r="121" spans="1:7" x14ac:dyDescent="0.3">
      <c r="A121" s="6"/>
      <c r="C121" s="6"/>
      <c r="D121" s="6"/>
      <c r="E121" s="6"/>
      <c r="F121" s="6"/>
      <c r="G121" s="6"/>
    </row>
    <row r="122" spans="1:7" x14ac:dyDescent="0.3">
      <c r="A122" s="5" t="s">
        <v>98</v>
      </c>
    </row>
    <row r="123" spans="1:7" x14ac:dyDescent="0.3">
      <c r="A123" s="1" t="s">
        <v>121</v>
      </c>
      <c r="B123" s="28" t="s">
        <v>118</v>
      </c>
      <c r="C123" s="28" t="s">
        <v>119</v>
      </c>
      <c r="D123" s="23" t="s">
        <v>123</v>
      </c>
    </row>
    <row r="124" spans="1:7" x14ac:dyDescent="0.3">
      <c r="A124" s="30">
        <v>2020</v>
      </c>
      <c r="B124">
        <f>'Profit and Loss'!G4</f>
        <v>84343</v>
      </c>
      <c r="C124">
        <f>'Profit and Loss'!H4</f>
        <v>92568</v>
      </c>
      <c r="D124" s="25">
        <f>(B124-C124)/C124</f>
        <v>-8.8853599516031459E-2</v>
      </c>
    </row>
    <row r="125" spans="1:7" x14ac:dyDescent="0.3">
      <c r="A125" s="30">
        <v>2021</v>
      </c>
      <c r="B125">
        <f>'Profit and Loss'!F4</f>
        <v>87088</v>
      </c>
      <c r="C125">
        <f>B124</f>
        <v>84343</v>
      </c>
      <c r="D125" s="25">
        <f>(B125-C125)/C125</f>
        <v>3.2545676582526113E-2</v>
      </c>
    </row>
    <row r="126" spans="1:7" x14ac:dyDescent="0.3">
      <c r="A126" s="30">
        <v>2022</v>
      </c>
      <c r="B126">
        <f>'Profit and Loss'!E4</f>
        <v>94424</v>
      </c>
      <c r="C126">
        <f t="shared" ref="C126:C128" si="2">B125</f>
        <v>87088</v>
      </c>
      <c r="D126" s="25">
        <f>(B126-C126)/C126</f>
        <v>8.4236634209075872E-2</v>
      </c>
    </row>
    <row r="127" spans="1:7" x14ac:dyDescent="0.3">
      <c r="A127" s="29">
        <v>2023</v>
      </c>
      <c r="B127">
        <f>'Profit and Loss'!D4</f>
        <v>92998</v>
      </c>
      <c r="C127">
        <f t="shared" si="2"/>
        <v>94424</v>
      </c>
      <c r="D127" s="25">
        <f>(B127-C127)/C127</f>
        <v>-1.5102092688299585E-2</v>
      </c>
    </row>
    <row r="128" spans="1:7" x14ac:dyDescent="0.3">
      <c r="A128" s="29">
        <v>2024</v>
      </c>
      <c r="B128">
        <f>'Profit and Loss'!C4</f>
        <v>91354</v>
      </c>
      <c r="C128">
        <f t="shared" si="2"/>
        <v>92998</v>
      </c>
      <c r="D128" s="25">
        <f>(B128-C128)/C128</f>
        <v>-1.7677799522570377E-2</v>
      </c>
    </row>
    <row r="130" spans="1:8" x14ac:dyDescent="0.3">
      <c r="A130" s="1" t="s">
        <v>160</v>
      </c>
    </row>
    <row r="131" spans="1:8" x14ac:dyDescent="0.3">
      <c r="A131" s="23" t="s">
        <v>121</v>
      </c>
      <c r="B131" s="23" t="s">
        <v>0</v>
      </c>
      <c r="C131" s="23" t="s">
        <v>127</v>
      </c>
      <c r="D131" s="23" t="s">
        <v>128</v>
      </c>
      <c r="E131" s="23" t="s">
        <v>129</v>
      </c>
      <c r="F131" s="23" t="s">
        <v>124</v>
      </c>
      <c r="G131" s="23" t="s">
        <v>125</v>
      </c>
      <c r="H131" s="23" t="s">
        <v>126</v>
      </c>
    </row>
    <row r="132" spans="1:8" x14ac:dyDescent="0.3">
      <c r="A132" s="30">
        <v>2020</v>
      </c>
      <c r="B132" s="30">
        <f>B124</f>
        <v>84343</v>
      </c>
      <c r="C132" s="25">
        <f>D108</f>
        <v>-7.9736285607662646E-2</v>
      </c>
      <c r="D132" s="25">
        <f>D116</f>
        <v>-2.0295088090643093E-2</v>
      </c>
      <c r="E132" s="25">
        <f>D124</f>
        <v>-8.8853599516031459E-2</v>
      </c>
      <c r="F132" s="35">
        <f>C132/E132</f>
        <v>0.89738948159636667</v>
      </c>
      <c r="G132" s="35">
        <f>D132/C132</f>
        <v>0.25452763363600595</v>
      </c>
      <c r="H132" s="35">
        <f>D132/E132</f>
        <v>0.22841042120056532</v>
      </c>
    </row>
    <row r="133" spans="1:8" x14ac:dyDescent="0.3">
      <c r="A133" s="30">
        <v>2021</v>
      </c>
      <c r="B133" s="30">
        <f t="shared" ref="B133:B136" si="3">B125</f>
        <v>87088</v>
      </c>
      <c r="C133" s="25">
        <f t="shared" ref="C133:C136" si="4">D109</f>
        <v>-0.21066504460665045</v>
      </c>
      <c r="D133" s="25">
        <f t="shared" ref="D133:D136" si="5">D117</f>
        <v>0.23638558810446719</v>
      </c>
      <c r="E133" s="25">
        <f t="shared" ref="E133:E136" si="6">D125</f>
        <v>3.2545676582526113E-2</v>
      </c>
      <c r="F133" s="35">
        <f>C133/E133</f>
        <v>-6.4729041374348704</v>
      </c>
      <c r="G133" s="35">
        <f>D133/C133</f>
        <v>-1.1220921275565277</v>
      </c>
      <c r="H133" s="35">
        <f>D133/E133</f>
        <v>7.2631947750437433</v>
      </c>
    </row>
    <row r="134" spans="1:8" x14ac:dyDescent="0.3">
      <c r="A134" s="30">
        <v>2022</v>
      </c>
      <c r="B134" s="30">
        <f t="shared" si="3"/>
        <v>94424</v>
      </c>
      <c r="C134" s="25">
        <f t="shared" si="4"/>
        <v>5.5398578645431969E-2</v>
      </c>
      <c r="D134" s="25">
        <f t="shared" si="5"/>
        <v>-0.36650048825615461</v>
      </c>
      <c r="E134" s="25">
        <f t="shared" si="6"/>
        <v>8.4236634209075872E-2</v>
      </c>
      <c r="F134" s="35">
        <f>C134/E134</f>
        <v>0.65765422806343776</v>
      </c>
      <c r="G134" s="35">
        <f>D134/C134</f>
        <v>-6.6157020128958735</v>
      </c>
      <c r="H134" s="35">
        <f>D134/E134</f>
        <v>-4.350844400388767</v>
      </c>
    </row>
    <row r="135" spans="1:8" x14ac:dyDescent="0.3">
      <c r="A135" s="29">
        <v>2023</v>
      </c>
      <c r="B135" s="30">
        <f t="shared" si="3"/>
        <v>92998</v>
      </c>
      <c r="C135" s="25">
        <f t="shared" si="4"/>
        <v>0.14092162907674835</v>
      </c>
      <c r="D135" s="25">
        <f t="shared" si="5"/>
        <v>0.121450592244037</v>
      </c>
      <c r="E135" s="25">
        <f t="shared" si="6"/>
        <v>-1.5102092688299585E-2</v>
      </c>
      <c r="F135" s="35">
        <f>C135/E135</f>
        <v>-9.3312650097776206</v>
      </c>
      <c r="G135" s="35">
        <f>D135/C135</f>
        <v>0.86183074265975812</v>
      </c>
      <c r="H135" s="35">
        <f>D135/E135</f>
        <v>-8.0419710533316611</v>
      </c>
    </row>
    <row r="136" spans="1:8" x14ac:dyDescent="0.3">
      <c r="A136" s="29">
        <v>2024</v>
      </c>
      <c r="B136" s="30">
        <f t="shared" si="3"/>
        <v>91354</v>
      </c>
      <c r="C136" s="25">
        <f t="shared" si="4"/>
        <v>4.7002773234729435E-2</v>
      </c>
      <c r="D136" s="25">
        <f t="shared" si="5"/>
        <v>4.8108225421399115E-2</v>
      </c>
      <c r="E136" s="25">
        <f t="shared" si="6"/>
        <v>-1.7677799522570377E-2</v>
      </c>
      <c r="F136" s="35">
        <f>C136/E136</f>
        <v>-2.6588588231650658</v>
      </c>
      <c r="G136" s="35">
        <f>D136/C136</f>
        <v>1.0235188715599632</v>
      </c>
      <c r="H136" s="35">
        <f>D136/E136</f>
        <v>-2.7213921823231599</v>
      </c>
    </row>
    <row r="137" spans="1:8" x14ac:dyDescent="0.3">
      <c r="E137" s="34"/>
    </row>
  </sheetData>
  <sortState xmlns:xlrd2="http://schemas.microsoft.com/office/spreadsheetml/2017/richdata2" ref="A132:H136">
    <sortCondition ref="A132:A136"/>
  </sortState>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75E39-0BA5-054C-9DF2-70EBCBCD3C5E}">
  <dimension ref="A2:N45"/>
  <sheetViews>
    <sheetView topLeftCell="A7" zoomScale="91" workbookViewId="0">
      <selection activeCell="B91" sqref="B91"/>
    </sheetView>
  </sheetViews>
  <sheetFormatPr defaultColWidth="11.44140625" defaultRowHeight="14.4" x14ac:dyDescent="0.3"/>
  <cols>
    <col min="1" max="1" width="27.77734375" customWidth="1"/>
    <col min="2" max="2" width="175.21875" customWidth="1"/>
  </cols>
  <sheetData>
    <row r="2" spans="1:2" x14ac:dyDescent="0.3">
      <c r="A2" s="37" t="s">
        <v>74</v>
      </c>
      <c r="B2" s="36"/>
    </row>
    <row r="3" spans="1:2" ht="57.6" x14ac:dyDescent="0.3">
      <c r="A3" s="36" t="s">
        <v>71</v>
      </c>
      <c r="B3" s="36" t="s">
        <v>143</v>
      </c>
    </row>
    <row r="4" spans="1:2" ht="28.8" x14ac:dyDescent="0.3">
      <c r="A4" s="36" t="s">
        <v>72</v>
      </c>
      <c r="B4" s="36" t="s">
        <v>144</v>
      </c>
    </row>
    <row r="5" spans="1:2" ht="43.2" x14ac:dyDescent="0.3">
      <c r="A5" s="36" t="s">
        <v>73</v>
      </c>
      <c r="B5" s="36" t="s">
        <v>145</v>
      </c>
    </row>
    <row r="6" spans="1:2" ht="57.6" x14ac:dyDescent="0.3">
      <c r="A6" s="37" t="s">
        <v>114</v>
      </c>
      <c r="B6" s="37" t="s">
        <v>150</v>
      </c>
    </row>
    <row r="7" spans="1:2" x14ac:dyDescent="0.3">
      <c r="A7" s="36"/>
      <c r="B7" s="36"/>
    </row>
    <row r="8" spans="1:2" x14ac:dyDescent="0.3">
      <c r="A8" s="37" t="s">
        <v>75</v>
      </c>
      <c r="B8" s="36"/>
    </row>
    <row r="9" spans="1:2" ht="43.2" x14ac:dyDescent="0.3">
      <c r="A9" s="36" t="s">
        <v>76</v>
      </c>
      <c r="B9" s="36" t="s">
        <v>253</v>
      </c>
    </row>
    <row r="10" spans="1:2" x14ac:dyDescent="0.3">
      <c r="A10" s="36"/>
      <c r="B10" s="36"/>
    </row>
    <row r="11" spans="1:2" x14ac:dyDescent="0.3">
      <c r="A11" s="36"/>
      <c r="B11" s="36"/>
    </row>
    <row r="12" spans="1:2" x14ac:dyDescent="0.3">
      <c r="A12" s="37" t="s">
        <v>78</v>
      </c>
      <c r="B12" s="36"/>
    </row>
    <row r="13" spans="1:2" x14ac:dyDescent="0.3">
      <c r="A13" s="36" t="s">
        <v>77</v>
      </c>
      <c r="B13" s="36" t="s">
        <v>147</v>
      </c>
    </row>
    <row r="14" spans="1:2" ht="28.8" x14ac:dyDescent="0.3">
      <c r="A14" s="36" t="s">
        <v>79</v>
      </c>
      <c r="B14" s="36" t="s">
        <v>251</v>
      </c>
    </row>
    <row r="15" spans="1:2" x14ac:dyDescent="0.3">
      <c r="A15" s="36"/>
      <c r="B15" s="36"/>
    </row>
    <row r="16" spans="1:2" x14ac:dyDescent="0.3">
      <c r="A16" s="36"/>
      <c r="B16" s="36"/>
    </row>
    <row r="17" spans="1:14" x14ac:dyDescent="0.3">
      <c r="A17" s="37" t="s">
        <v>80</v>
      </c>
      <c r="B17" s="36"/>
    </row>
    <row r="18" spans="1:14" ht="28.8" x14ac:dyDescent="0.3">
      <c r="A18" s="36" t="s">
        <v>66</v>
      </c>
      <c r="B18" s="36" t="s">
        <v>261</v>
      </c>
    </row>
    <row r="19" spans="1:14" ht="28.8" x14ac:dyDescent="0.3">
      <c r="A19" s="36" t="s">
        <v>67</v>
      </c>
      <c r="B19" s="36" t="s">
        <v>260</v>
      </c>
    </row>
    <row r="20" spans="1:14" ht="28.8" x14ac:dyDescent="0.3">
      <c r="A20" s="36" t="s">
        <v>81</v>
      </c>
      <c r="B20" s="36" t="s">
        <v>266</v>
      </c>
      <c r="C20" t="s">
        <v>142</v>
      </c>
    </row>
    <row r="21" spans="1:14" ht="28.8" x14ac:dyDescent="0.3">
      <c r="A21" s="36" t="s">
        <v>82</v>
      </c>
      <c r="B21" s="36" t="s">
        <v>267</v>
      </c>
    </row>
    <row r="22" spans="1:14" ht="34.799999999999997" customHeight="1" x14ac:dyDescent="0.3">
      <c r="A22" s="36" t="s">
        <v>83</v>
      </c>
      <c r="B22" s="36" t="s">
        <v>268</v>
      </c>
      <c r="C22" s="36"/>
      <c r="D22" s="36"/>
      <c r="E22" s="36"/>
      <c r="F22" s="36"/>
      <c r="G22" s="36"/>
      <c r="H22" s="36"/>
      <c r="I22" s="36"/>
      <c r="J22" s="36"/>
      <c r="K22" s="36"/>
      <c r="L22" s="36"/>
      <c r="M22" s="36"/>
      <c r="N22" s="36"/>
    </row>
    <row r="23" spans="1:14" x14ac:dyDescent="0.3">
      <c r="A23" s="36"/>
      <c r="B23" s="36"/>
    </row>
    <row r="24" spans="1:14" x14ac:dyDescent="0.3">
      <c r="A24" s="36"/>
      <c r="B24" s="36"/>
    </row>
    <row r="25" spans="1:14" x14ac:dyDescent="0.3">
      <c r="A25" s="37" t="s">
        <v>84</v>
      </c>
      <c r="B25" s="36"/>
    </row>
    <row r="26" spans="1:14" ht="28.8" x14ac:dyDescent="0.3">
      <c r="A26" s="36" t="s">
        <v>70</v>
      </c>
      <c r="B26" s="36" t="s">
        <v>133</v>
      </c>
    </row>
    <row r="27" spans="1:14" ht="132.44999999999999" customHeight="1" x14ac:dyDescent="0.3">
      <c r="A27" s="36" t="s">
        <v>86</v>
      </c>
      <c r="B27" s="36" t="s">
        <v>151</v>
      </c>
    </row>
    <row r="28" spans="1:14" ht="43.2" x14ac:dyDescent="0.3">
      <c r="A28" s="36" t="s">
        <v>85</v>
      </c>
      <c r="B28" s="36" t="s">
        <v>153</v>
      </c>
    </row>
    <row r="29" spans="1:14" ht="28.8" x14ac:dyDescent="0.3">
      <c r="A29" s="36" t="s">
        <v>87</v>
      </c>
      <c r="B29" s="36" t="s">
        <v>154</v>
      </c>
    </row>
    <row r="30" spans="1:14" x14ac:dyDescent="0.3">
      <c r="A30" s="36"/>
      <c r="B30" s="36"/>
    </row>
    <row r="31" spans="1:14" x14ac:dyDescent="0.3">
      <c r="A31" s="36"/>
      <c r="B31" s="36"/>
    </row>
    <row r="32" spans="1:14" x14ac:dyDescent="0.3">
      <c r="A32" s="36" t="s">
        <v>159</v>
      </c>
      <c r="B32" s="36" t="s">
        <v>161</v>
      </c>
    </row>
    <row r="33" spans="1:2" ht="28.8" x14ac:dyDescent="0.3">
      <c r="A33" s="36" t="s">
        <v>130</v>
      </c>
      <c r="B33" s="36" t="s">
        <v>254</v>
      </c>
    </row>
    <row r="34" spans="1:2" ht="28.8" x14ac:dyDescent="0.3">
      <c r="A34" s="36" t="s">
        <v>131</v>
      </c>
      <c r="B34" s="36" t="s">
        <v>162</v>
      </c>
    </row>
    <row r="35" spans="1:2" x14ac:dyDescent="0.3">
      <c r="A35" s="36"/>
      <c r="B35" s="36"/>
    </row>
    <row r="36" spans="1:2" x14ac:dyDescent="0.3">
      <c r="A36" s="36"/>
      <c r="B36" s="36"/>
    </row>
    <row r="37" spans="1:2" x14ac:dyDescent="0.3">
      <c r="A37" s="36"/>
      <c r="B37" s="36"/>
    </row>
    <row r="38" spans="1:2" x14ac:dyDescent="0.3">
      <c r="A38" s="36"/>
      <c r="B38" s="36"/>
    </row>
    <row r="39" spans="1:2" x14ac:dyDescent="0.3">
      <c r="A39" s="36"/>
      <c r="B39" s="36"/>
    </row>
    <row r="40" spans="1:2" x14ac:dyDescent="0.3">
      <c r="A40" s="36"/>
      <c r="B40" s="36"/>
    </row>
    <row r="41" spans="1:2" x14ac:dyDescent="0.3">
      <c r="A41" s="36"/>
      <c r="B41" s="36"/>
    </row>
    <row r="42" spans="1:2" x14ac:dyDescent="0.3">
      <c r="A42" s="36"/>
      <c r="B42" s="36"/>
    </row>
    <row r="43" spans="1:2" x14ac:dyDescent="0.3">
      <c r="A43" s="36"/>
      <c r="B43" s="36"/>
    </row>
    <row r="44" spans="1:2" x14ac:dyDescent="0.3">
      <c r="A44" s="36"/>
      <c r="B44" s="36"/>
    </row>
    <row r="45" spans="1:2" x14ac:dyDescent="0.3">
      <c r="A45" s="36"/>
      <c r="B45" s="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001A-7149-4A50-AC26-A987BEA7A528}">
  <dimension ref="A1:H19"/>
  <sheetViews>
    <sheetView workbookViewId="0"/>
  </sheetViews>
  <sheetFormatPr defaultRowHeight="14.4" x14ac:dyDescent="0.3"/>
  <cols>
    <col min="1" max="1" width="12.109375" bestFit="1" customWidth="1"/>
    <col min="2" max="2" width="11.44140625" customWidth="1"/>
    <col min="3" max="4" width="11.6640625" customWidth="1"/>
    <col min="5" max="5" width="12.21875" customWidth="1"/>
    <col min="6" max="6" width="14" customWidth="1"/>
    <col min="7" max="7" width="15.6640625" customWidth="1"/>
    <col min="8" max="8" width="13.21875" customWidth="1"/>
  </cols>
  <sheetData>
    <row r="1" spans="1:8" ht="18" x14ac:dyDescent="0.35">
      <c r="A1" s="65" t="s">
        <v>74</v>
      </c>
    </row>
    <row r="2" spans="1:8" ht="18" x14ac:dyDescent="0.35">
      <c r="A2" s="65"/>
    </row>
    <row r="3" spans="1:8" ht="66" customHeight="1" x14ac:dyDescent="0.3">
      <c r="A3" s="37" t="s">
        <v>71</v>
      </c>
      <c r="B3" s="69" t="s">
        <v>143</v>
      </c>
      <c r="C3" s="69"/>
      <c r="D3" s="69"/>
      <c r="E3" s="69"/>
      <c r="F3" s="69"/>
      <c r="G3" s="69"/>
      <c r="H3" s="69"/>
    </row>
    <row r="4" spans="1:8" ht="61.8" customHeight="1" x14ac:dyDescent="0.3">
      <c r="A4" s="37" t="s">
        <v>72</v>
      </c>
      <c r="B4" s="69" t="s">
        <v>144</v>
      </c>
      <c r="C4" s="69"/>
      <c r="D4" s="69"/>
      <c r="E4" s="69"/>
      <c r="F4" s="69"/>
      <c r="G4" s="69"/>
      <c r="H4" s="69"/>
    </row>
    <row r="5" spans="1:8" ht="45.6" customHeight="1" x14ac:dyDescent="0.3">
      <c r="A5" s="37" t="s">
        <v>73</v>
      </c>
      <c r="B5" s="69" t="s">
        <v>145</v>
      </c>
      <c r="C5" s="69"/>
      <c r="D5" s="69"/>
      <c r="E5" s="69"/>
      <c r="F5" s="69"/>
      <c r="G5" s="69"/>
      <c r="H5" s="69"/>
    </row>
    <row r="6" spans="1:8" ht="103.2" customHeight="1" x14ac:dyDescent="0.3">
      <c r="A6" s="37" t="s">
        <v>114</v>
      </c>
      <c r="B6" s="69" t="s">
        <v>150</v>
      </c>
      <c r="C6" s="69"/>
      <c r="D6" s="69"/>
      <c r="E6" s="69"/>
      <c r="F6" s="69"/>
      <c r="G6" s="69"/>
      <c r="H6" s="69"/>
    </row>
    <row r="8" spans="1:8" s="36" customFormat="1" ht="43.2" x14ac:dyDescent="0.3">
      <c r="A8" s="37" t="s">
        <v>94</v>
      </c>
      <c r="B8" s="37" t="s">
        <v>3</v>
      </c>
      <c r="C8" s="37" t="s">
        <v>158</v>
      </c>
      <c r="D8" s="37" t="s">
        <v>157</v>
      </c>
      <c r="E8" s="37" t="s">
        <v>24</v>
      </c>
      <c r="F8" s="37" t="s">
        <v>71</v>
      </c>
      <c r="G8" s="37" t="s">
        <v>72</v>
      </c>
      <c r="H8" s="37" t="s">
        <v>73</v>
      </c>
    </row>
    <row r="9" spans="1:8" x14ac:dyDescent="0.3">
      <c r="A9">
        <v>2020</v>
      </c>
      <c r="B9">
        <f>'Balance Sheet'!G16</f>
        <v>34068</v>
      </c>
      <c r="C9">
        <f>'Balance Sheet'!G8</f>
        <v>5235</v>
      </c>
      <c r="D9">
        <f>'Balance Sheet'!G10</f>
        <v>10101</v>
      </c>
      <c r="E9">
        <f>'Balance Sheet'!G42</f>
        <v>39722</v>
      </c>
      <c r="F9" s="19">
        <f>B9/E9</f>
        <v>0.85766074215799804</v>
      </c>
      <c r="G9" s="19">
        <f>(B9-D9)/E9</f>
        <v>0.60336841045264589</v>
      </c>
      <c r="H9" s="19">
        <f>C9/E9</f>
        <v>0.13179094708222144</v>
      </c>
    </row>
    <row r="10" spans="1:8" x14ac:dyDescent="0.3">
      <c r="A10">
        <v>2021</v>
      </c>
      <c r="B10">
        <f>'Balance Sheet'!F16</f>
        <v>39257</v>
      </c>
      <c r="C10">
        <f>'Balance Sheet'!F8</f>
        <v>6988</v>
      </c>
      <c r="D10">
        <f>'Balance Sheet'!F10</f>
        <v>11982</v>
      </c>
      <c r="E10">
        <f>'Balance Sheet'!F42</f>
        <v>40020</v>
      </c>
      <c r="F10" s="19">
        <f>B10/E10</f>
        <v>0.98093453273363318</v>
      </c>
      <c r="G10" s="19">
        <f>(B10-D10)/E10</f>
        <v>0.68153423288355819</v>
      </c>
      <c r="H10" s="19">
        <f>C10/E10</f>
        <v>0.17461269365317342</v>
      </c>
    </row>
    <row r="11" spans="1:8" x14ac:dyDescent="0.3">
      <c r="A11">
        <v>2022</v>
      </c>
      <c r="B11">
        <f>'Balance Sheet'!E16</f>
        <v>35062</v>
      </c>
      <c r="C11">
        <f>'Balance Sheet'!E8</f>
        <v>5511</v>
      </c>
      <c r="D11">
        <f>'Balance Sheet'!E10</f>
        <v>15019</v>
      </c>
      <c r="E11">
        <f>'Balance Sheet'!E42</f>
        <v>39976</v>
      </c>
      <c r="F11" s="19">
        <f>B11/E11</f>
        <v>0.87707624574744847</v>
      </c>
      <c r="G11" s="19">
        <f>(B11-D11)/E11</f>
        <v>0.50137582549529713</v>
      </c>
      <c r="H11" s="19">
        <f>C11/E11</f>
        <v>0.13785771462877727</v>
      </c>
    </row>
    <row r="12" spans="1:8" x14ac:dyDescent="0.3">
      <c r="A12">
        <v>2023</v>
      </c>
      <c r="B12">
        <f>'Balance Sheet'!D16</f>
        <v>30857</v>
      </c>
      <c r="C12">
        <f>'Balance Sheet'!D8</f>
        <v>4816</v>
      </c>
      <c r="D12">
        <f>'Balance Sheet'!D10</f>
        <v>11896</v>
      </c>
      <c r="E12">
        <f>'Balance Sheet'!D42</f>
        <v>37084</v>
      </c>
      <c r="F12" s="19">
        <f>B12/E12</f>
        <v>0.83208391759249267</v>
      </c>
      <c r="G12" s="19">
        <f>(B12-D12)/E12</f>
        <v>0.51129867328227807</v>
      </c>
      <c r="H12" s="19">
        <f>C12/E12</f>
        <v>0.12986732822780714</v>
      </c>
    </row>
    <row r="13" spans="1:8" x14ac:dyDescent="0.3">
      <c r="A13">
        <v>2024</v>
      </c>
      <c r="B13">
        <f>'Balance Sheet'!C16</f>
        <v>35188</v>
      </c>
      <c r="C13">
        <f>'Balance Sheet'!C8</f>
        <v>5556</v>
      </c>
      <c r="D13">
        <f>'Balance Sheet'!C10</f>
        <v>13260</v>
      </c>
      <c r="E13">
        <f>'Balance Sheet'!C42</f>
        <v>42863</v>
      </c>
      <c r="F13" s="19">
        <f>B13/E13</f>
        <v>0.82094113804446722</v>
      </c>
      <c r="G13" s="19">
        <f>(B13-D13)/E13</f>
        <v>0.51158341693301912</v>
      </c>
      <c r="H13" s="19">
        <f>C13/E13</f>
        <v>0.12962228495438957</v>
      </c>
    </row>
    <row r="17" spans="2:8" x14ac:dyDescent="0.3">
      <c r="B17" s="69"/>
      <c r="C17" s="69"/>
      <c r="D17" s="69"/>
      <c r="E17" s="69"/>
      <c r="F17" s="69"/>
      <c r="G17" s="69"/>
      <c r="H17" s="69"/>
    </row>
    <row r="18" spans="2:8" x14ac:dyDescent="0.3">
      <c r="B18" s="69"/>
      <c r="C18" s="69"/>
      <c r="D18" s="69"/>
      <c r="E18" s="69"/>
      <c r="F18" s="69"/>
      <c r="G18" s="69"/>
      <c r="H18" s="69"/>
    </row>
    <row r="19" spans="2:8" x14ac:dyDescent="0.3">
      <c r="B19" s="70"/>
      <c r="C19" s="70"/>
      <c r="D19" s="70"/>
      <c r="E19" s="70"/>
      <c r="F19" s="70"/>
      <c r="G19" s="70"/>
      <c r="H19" s="70"/>
    </row>
  </sheetData>
  <mergeCells count="7">
    <mergeCell ref="B3:H3"/>
    <mergeCell ref="B4:H4"/>
    <mergeCell ref="B5:H5"/>
    <mergeCell ref="B6:H6"/>
    <mergeCell ref="B19:H19"/>
    <mergeCell ref="B17:H17"/>
    <mergeCell ref="B18:H1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1B03-C353-4E12-8675-B89EF1CB2246}">
  <dimension ref="A1:O11"/>
  <sheetViews>
    <sheetView zoomScaleNormal="100" workbookViewId="0">
      <selection activeCell="C9" sqref="C9"/>
    </sheetView>
  </sheetViews>
  <sheetFormatPr defaultColWidth="8.77734375" defaultRowHeight="14.4" x14ac:dyDescent="0.3"/>
  <cols>
    <col min="2" max="2" width="18.88671875" bestFit="1" customWidth="1"/>
    <col min="3" max="3" width="14.77734375" customWidth="1"/>
    <col min="4" max="4" width="18.77734375" bestFit="1" customWidth="1"/>
    <col min="5" max="5" width="16.21875" bestFit="1" customWidth="1"/>
    <col min="6" max="6" width="10.6640625" customWidth="1"/>
    <col min="7" max="7" width="11.44140625" customWidth="1"/>
    <col min="8" max="8" width="10.21875" bestFit="1" customWidth="1"/>
    <col min="13" max="13" width="8.77734375" customWidth="1"/>
  </cols>
  <sheetData>
    <row r="1" spans="1:15" ht="18" x14ac:dyDescent="0.35">
      <c r="A1" s="65" t="s">
        <v>76</v>
      </c>
    </row>
    <row r="3" spans="1:15" ht="52.2" customHeight="1" x14ac:dyDescent="0.3">
      <c r="B3" s="71" t="s">
        <v>272</v>
      </c>
      <c r="C3" s="71"/>
      <c r="D3" s="71"/>
      <c r="E3" s="71"/>
      <c r="F3" s="71"/>
      <c r="G3" s="71"/>
      <c r="H3" s="71"/>
      <c r="I3" s="71"/>
      <c r="J3" s="71"/>
      <c r="K3" s="71"/>
      <c r="L3" s="71"/>
      <c r="M3" s="71"/>
      <c r="N3" s="71"/>
      <c r="O3" s="71"/>
    </row>
    <row r="6" spans="1:15" x14ac:dyDescent="0.3">
      <c r="A6" s="1" t="s">
        <v>94</v>
      </c>
      <c r="B6" s="1" t="s">
        <v>115</v>
      </c>
      <c r="C6" s="1" t="s">
        <v>96</v>
      </c>
      <c r="D6" s="1" t="s">
        <v>97</v>
      </c>
    </row>
    <row r="7" spans="1:15" x14ac:dyDescent="0.3">
      <c r="A7">
        <v>2020</v>
      </c>
      <c r="B7">
        <f>('Balance Sheet'!G35+'Balance Sheet'!G45)</f>
        <v>39947</v>
      </c>
      <c r="C7">
        <f>'Balance Sheet'!G63</f>
        <v>46514</v>
      </c>
      <c r="D7" s="19">
        <f>B7/C7</f>
        <v>0.85881670034828228</v>
      </c>
    </row>
    <row r="8" spans="1:15" x14ac:dyDescent="0.3">
      <c r="A8">
        <v>2021</v>
      </c>
      <c r="B8">
        <f>('Balance Sheet'!F35+'Balance Sheet'!F45)</f>
        <v>46574</v>
      </c>
      <c r="C8">
        <f>'Balance Sheet'!F63</f>
        <v>53727</v>
      </c>
      <c r="D8" s="19">
        <f>B8/C8</f>
        <v>0.86686396039235392</v>
      </c>
    </row>
    <row r="9" spans="1:15" x14ac:dyDescent="0.3">
      <c r="A9">
        <v>2022</v>
      </c>
      <c r="B9">
        <f>('Balance Sheet'!E35+'Balance Sheet'!E45)</f>
        <v>54312</v>
      </c>
      <c r="C9">
        <f>'Balance Sheet'!E63</f>
        <v>42792</v>
      </c>
      <c r="D9" s="19">
        <f>B9/C9</f>
        <v>1.269209197980931</v>
      </c>
    </row>
    <row r="10" spans="1:15" x14ac:dyDescent="0.3">
      <c r="A10">
        <v>2023</v>
      </c>
      <c r="B10">
        <f>('Balance Sheet'!D35+'Balance Sheet'!D45)</f>
        <v>55241</v>
      </c>
      <c r="C10">
        <f>'Balance Sheet'!D63</f>
        <v>36387</v>
      </c>
      <c r="D10" s="19">
        <f>B10/C10</f>
        <v>1.51815208728392</v>
      </c>
    </row>
    <row r="11" spans="1:15" x14ac:dyDescent="0.3">
      <c r="A11">
        <v>2024</v>
      </c>
      <c r="B11">
        <f>('Balance Sheet'!C35+'Balance Sheet'!C45)</f>
        <v>63560</v>
      </c>
      <c r="C11">
        <f>'Balance Sheet'!C63</f>
        <v>36693</v>
      </c>
      <c r="D11" s="19">
        <f>B11/C11</f>
        <v>1.7322105033657647</v>
      </c>
    </row>
  </sheetData>
  <mergeCells count="1">
    <mergeCell ref="B3:O3"/>
  </mergeCells>
  <pageMargins left="0.7" right="0.7" top="0.75" bottom="0.75" header="0.3" footer="0.3"/>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1AF5-1252-4B99-820B-390003E7D305}">
  <dimension ref="A1:M41"/>
  <sheetViews>
    <sheetView zoomScale="102" zoomScaleNormal="102" workbookViewId="0">
      <selection activeCell="E30" sqref="E30"/>
    </sheetView>
  </sheetViews>
  <sheetFormatPr defaultColWidth="8.77734375" defaultRowHeight="14.4" x14ac:dyDescent="0.3"/>
  <cols>
    <col min="1" max="1" width="10.33203125" customWidth="1"/>
    <col min="2" max="2" width="18.88671875" bestFit="1" customWidth="1"/>
    <col min="3" max="3" width="14.77734375" customWidth="1"/>
    <col min="4" max="4" width="18.77734375" bestFit="1" customWidth="1"/>
    <col min="5" max="5" width="16.21875" bestFit="1" customWidth="1"/>
    <col min="6" max="6" width="10.6640625" customWidth="1"/>
    <col min="7" max="7" width="11.44140625" customWidth="1"/>
    <col min="8" max="8" width="10.21875" bestFit="1" customWidth="1"/>
    <col min="13" max="13" width="8.77734375" customWidth="1"/>
  </cols>
  <sheetData>
    <row r="1" spans="1:13" ht="18" x14ac:dyDescent="0.35">
      <c r="A1" s="65" t="s">
        <v>270</v>
      </c>
    </row>
    <row r="3" spans="1:13" ht="28.8" x14ac:dyDescent="0.3">
      <c r="A3" s="37" t="s">
        <v>159</v>
      </c>
      <c r="B3" s="71" t="s">
        <v>161</v>
      </c>
      <c r="C3" s="71"/>
      <c r="D3" s="71"/>
      <c r="E3" s="71"/>
      <c r="F3" s="71"/>
      <c r="G3" s="71"/>
      <c r="H3" s="71"/>
      <c r="I3" s="71"/>
      <c r="J3" s="71"/>
      <c r="K3" s="71"/>
      <c r="L3" s="71"/>
      <c r="M3" s="71"/>
    </row>
    <row r="4" spans="1:13" ht="28.8" x14ac:dyDescent="0.3">
      <c r="A4" s="37" t="s">
        <v>130</v>
      </c>
      <c r="B4" s="71" t="s">
        <v>254</v>
      </c>
      <c r="C4" s="71"/>
      <c r="D4" s="71"/>
      <c r="E4" s="71"/>
      <c r="F4" s="71"/>
      <c r="G4" s="71"/>
      <c r="H4" s="71"/>
      <c r="I4" s="71"/>
      <c r="J4" s="71"/>
      <c r="K4" s="71"/>
      <c r="L4" s="71"/>
      <c r="M4" s="71"/>
    </row>
    <row r="5" spans="1:13" ht="28.8" x14ac:dyDescent="0.3">
      <c r="A5" s="37" t="s">
        <v>131</v>
      </c>
      <c r="B5" s="71" t="s">
        <v>162</v>
      </c>
      <c r="C5" s="71"/>
      <c r="D5" s="71"/>
      <c r="E5" s="71"/>
      <c r="F5" s="71"/>
      <c r="G5" s="71"/>
      <c r="H5" s="71"/>
      <c r="I5" s="71"/>
      <c r="J5" s="71"/>
      <c r="K5" s="71"/>
      <c r="L5" s="71"/>
      <c r="M5" s="71"/>
    </row>
    <row r="10" spans="1:13" x14ac:dyDescent="0.3">
      <c r="A10" s="1" t="s">
        <v>132</v>
      </c>
    </row>
    <row r="11" spans="1:13" x14ac:dyDescent="0.3">
      <c r="A11" s="23" t="s">
        <v>117</v>
      </c>
      <c r="B11" s="28" t="s">
        <v>118</v>
      </c>
      <c r="C11" s="28" t="s">
        <v>119</v>
      </c>
      <c r="D11" s="31" t="s">
        <v>155</v>
      </c>
    </row>
    <row r="12" spans="1:13" x14ac:dyDescent="0.3">
      <c r="A12" s="30">
        <v>2020</v>
      </c>
      <c r="B12" s="13">
        <f>'Profit and Loss'!G15</f>
        <v>14796</v>
      </c>
      <c r="C12" s="13">
        <f>'Profit and Loss'!H15</f>
        <v>16078</v>
      </c>
      <c r="D12" s="33">
        <f>(B12-C12)/C12</f>
        <v>-7.9736285607662646E-2</v>
      </c>
    </row>
    <row r="13" spans="1:13" x14ac:dyDescent="0.3">
      <c r="A13" s="30">
        <v>2021</v>
      </c>
      <c r="B13" s="13">
        <f>'Profit and Loss'!F15</f>
        <v>11679</v>
      </c>
      <c r="C13" s="13">
        <f>B12</f>
        <v>14796</v>
      </c>
      <c r="D13" s="33">
        <f>(B13-C13)/C13</f>
        <v>-0.21066504460665045</v>
      </c>
    </row>
    <row r="14" spans="1:13" x14ac:dyDescent="0.3">
      <c r="A14" s="30">
        <v>2022</v>
      </c>
      <c r="B14" s="13">
        <f>'Profit and Loss'!E15</f>
        <v>12326</v>
      </c>
      <c r="C14" s="13">
        <f t="shared" ref="C14:C16" si="0">B13</f>
        <v>11679</v>
      </c>
      <c r="D14" s="33">
        <f>(B14-C14)/C14</f>
        <v>5.5398578645431969E-2</v>
      </c>
    </row>
    <row r="15" spans="1:13" x14ac:dyDescent="0.3">
      <c r="A15" s="29">
        <v>2023</v>
      </c>
      <c r="B15" s="29">
        <f>'Profit and Loss'!D15</f>
        <v>14063</v>
      </c>
      <c r="C15" s="13">
        <f t="shared" si="0"/>
        <v>12326</v>
      </c>
      <c r="D15" s="33">
        <f>(B15-C15)/C15</f>
        <v>0.14092162907674835</v>
      </c>
    </row>
    <row r="16" spans="1:13" x14ac:dyDescent="0.3">
      <c r="A16" s="29">
        <v>2024</v>
      </c>
      <c r="B16" s="29">
        <f>'Profit and Loss'!C15</f>
        <v>14724</v>
      </c>
      <c r="C16" s="13">
        <f t="shared" si="0"/>
        <v>14063</v>
      </c>
      <c r="D16" s="33">
        <f>(B16-C16)/C16</f>
        <v>4.7002773234729435E-2</v>
      </c>
    </row>
    <row r="17" spans="1:7" x14ac:dyDescent="0.3">
      <c r="A17" s="21"/>
      <c r="B17" s="6"/>
      <c r="D17" s="19"/>
      <c r="E17" s="6"/>
    </row>
    <row r="18" spans="1:7" x14ac:dyDescent="0.3">
      <c r="A18" s="26" t="s">
        <v>120</v>
      </c>
      <c r="D18" s="24"/>
    </row>
    <row r="19" spans="1:7" x14ac:dyDescent="0.3">
      <c r="A19" t="s">
        <v>121</v>
      </c>
      <c r="B19" s="28" t="s">
        <v>118</v>
      </c>
      <c r="C19" s="28" t="s">
        <v>119</v>
      </c>
      <c r="D19" s="23" t="s">
        <v>122</v>
      </c>
      <c r="E19" s="6"/>
      <c r="F19" s="6"/>
    </row>
    <row r="20" spans="1:7" x14ac:dyDescent="0.3">
      <c r="A20" s="30">
        <v>2020</v>
      </c>
      <c r="B20">
        <f>'Profit and Loss'!G19</f>
        <v>15737</v>
      </c>
      <c r="C20" s="6">
        <f>'Profit and Loss'!H19</f>
        <v>16063</v>
      </c>
      <c r="D20" s="32">
        <f>(B20-C20)/C20</f>
        <v>-2.0295088090643093E-2</v>
      </c>
    </row>
    <row r="21" spans="1:7" x14ac:dyDescent="0.3">
      <c r="A21" s="30">
        <v>2021</v>
      </c>
      <c r="B21">
        <f>'Profit and Loss'!F19</f>
        <v>19457</v>
      </c>
      <c r="C21">
        <f>B20</f>
        <v>15737</v>
      </c>
      <c r="D21" s="25">
        <f>(B21-C21)/C21</f>
        <v>0.23638558810446719</v>
      </c>
    </row>
    <row r="22" spans="1:7" x14ac:dyDescent="0.3">
      <c r="A22" s="30">
        <v>2022</v>
      </c>
      <c r="B22">
        <f>'Profit and Loss'!E19</f>
        <v>12326</v>
      </c>
      <c r="C22">
        <f t="shared" ref="C22:C24" si="1">B21</f>
        <v>19457</v>
      </c>
      <c r="D22" s="27">
        <f>(B22-C22)/C22</f>
        <v>-0.36650048825615461</v>
      </c>
    </row>
    <row r="23" spans="1:7" x14ac:dyDescent="0.3">
      <c r="A23" s="29">
        <v>2023</v>
      </c>
      <c r="B23">
        <f>'Profit and Loss'!D19</f>
        <v>13823</v>
      </c>
      <c r="C23">
        <f t="shared" si="1"/>
        <v>12326</v>
      </c>
      <c r="D23" s="25">
        <f>(B23-C23)/C23</f>
        <v>0.121450592244037</v>
      </c>
    </row>
    <row r="24" spans="1:7" x14ac:dyDescent="0.3">
      <c r="A24" s="29">
        <v>2024</v>
      </c>
      <c r="B24" s="6">
        <f>'Profit and Loss'!C19</f>
        <v>14488</v>
      </c>
      <c r="C24">
        <f t="shared" si="1"/>
        <v>13823</v>
      </c>
      <c r="D24" s="25">
        <f>(B24-C24)/C24</f>
        <v>4.8108225421399115E-2</v>
      </c>
      <c r="E24" s="5"/>
      <c r="F24" s="5"/>
      <c r="G24" s="5"/>
    </row>
    <row r="25" spans="1:7" x14ac:dyDescent="0.3">
      <c r="A25" s="6"/>
      <c r="C25" s="6"/>
      <c r="D25" s="6"/>
      <c r="E25" s="6"/>
      <c r="F25" s="6"/>
      <c r="G25" s="6"/>
    </row>
    <row r="26" spans="1:7" x14ac:dyDescent="0.3">
      <c r="A26" s="5" t="s">
        <v>98</v>
      </c>
    </row>
    <row r="27" spans="1:7" x14ac:dyDescent="0.3">
      <c r="A27" s="1" t="s">
        <v>121</v>
      </c>
      <c r="B27" s="28" t="s">
        <v>118</v>
      </c>
      <c r="C27" s="28" t="s">
        <v>119</v>
      </c>
      <c r="D27" s="23" t="s">
        <v>123</v>
      </c>
    </row>
    <row r="28" spans="1:7" x14ac:dyDescent="0.3">
      <c r="A28" s="30">
        <v>2020</v>
      </c>
      <c r="B28">
        <f>'Profit and Loss'!G4</f>
        <v>84343</v>
      </c>
      <c r="C28">
        <f>'Profit and Loss'!H4</f>
        <v>92568</v>
      </c>
      <c r="D28" s="25">
        <f>(B28-C28)/C28</f>
        <v>-8.8853599516031459E-2</v>
      </c>
    </row>
    <row r="29" spans="1:7" x14ac:dyDescent="0.3">
      <c r="A29" s="30">
        <v>2021</v>
      </c>
      <c r="B29">
        <f>'Profit and Loss'!F4</f>
        <v>87088</v>
      </c>
      <c r="C29">
        <f>B28</f>
        <v>84343</v>
      </c>
      <c r="D29" s="25">
        <f>(B29-C29)/C29</f>
        <v>3.2545676582526113E-2</v>
      </c>
    </row>
    <row r="30" spans="1:7" x14ac:dyDescent="0.3">
      <c r="A30" s="30">
        <v>2022</v>
      </c>
      <c r="B30">
        <f>'Profit and Loss'!E4</f>
        <v>94424</v>
      </c>
      <c r="C30">
        <f t="shared" ref="C30:C32" si="2">B29</f>
        <v>87088</v>
      </c>
      <c r="D30" s="25">
        <f>(B30-C30)/C30</f>
        <v>8.4236634209075872E-2</v>
      </c>
      <c r="E30" s="14"/>
    </row>
    <row r="31" spans="1:7" x14ac:dyDescent="0.3">
      <c r="A31" s="29">
        <v>2023</v>
      </c>
      <c r="B31">
        <f>'Profit and Loss'!D4</f>
        <v>92998</v>
      </c>
      <c r="C31">
        <f t="shared" si="2"/>
        <v>94424</v>
      </c>
      <c r="D31" s="25">
        <f>(B31-C31)/C31</f>
        <v>-1.5102092688299585E-2</v>
      </c>
    </row>
    <row r="32" spans="1:7" x14ac:dyDescent="0.3">
      <c r="A32" s="29">
        <v>2024</v>
      </c>
      <c r="B32">
        <f>'Profit and Loss'!C4</f>
        <v>91354</v>
      </c>
      <c r="C32">
        <f t="shared" si="2"/>
        <v>92998</v>
      </c>
      <c r="D32" s="25">
        <f>(B32-C32)/C32</f>
        <v>-1.7677799522570377E-2</v>
      </c>
    </row>
    <row r="34" spans="1:8" x14ac:dyDescent="0.3">
      <c r="A34" s="1" t="s">
        <v>160</v>
      </c>
    </row>
    <row r="35" spans="1:8" x14ac:dyDescent="0.3">
      <c r="A35" s="23" t="s">
        <v>121</v>
      </c>
      <c r="B35" s="23" t="s">
        <v>0</v>
      </c>
      <c r="C35" s="23" t="s">
        <v>127</v>
      </c>
      <c r="D35" s="23" t="s">
        <v>128</v>
      </c>
      <c r="E35" s="23" t="s">
        <v>129</v>
      </c>
      <c r="F35" s="23" t="s">
        <v>124</v>
      </c>
      <c r="G35" s="23" t="s">
        <v>125</v>
      </c>
      <c r="H35" s="23" t="s">
        <v>126</v>
      </c>
    </row>
    <row r="36" spans="1:8" x14ac:dyDescent="0.3">
      <c r="A36" s="30">
        <v>2020</v>
      </c>
      <c r="B36" s="30">
        <f>B28</f>
        <v>84343</v>
      </c>
      <c r="C36" s="25">
        <f>D12</f>
        <v>-7.9736285607662646E-2</v>
      </c>
      <c r="D36" s="25">
        <f>D20</f>
        <v>-2.0295088090643093E-2</v>
      </c>
      <c r="E36" s="25">
        <f>D28</f>
        <v>-8.8853599516031459E-2</v>
      </c>
      <c r="F36" s="35">
        <f>C36/E36</f>
        <v>0.89738948159636667</v>
      </c>
      <c r="G36" s="35">
        <f>D36/C36</f>
        <v>0.25452763363600595</v>
      </c>
      <c r="H36" s="35">
        <f>D36/E36</f>
        <v>0.22841042120056532</v>
      </c>
    </row>
    <row r="37" spans="1:8" x14ac:dyDescent="0.3">
      <c r="A37" s="30">
        <v>2021</v>
      </c>
      <c r="B37" s="30">
        <f>B29</f>
        <v>87088</v>
      </c>
      <c r="C37" s="25">
        <f>D13</f>
        <v>-0.21066504460665045</v>
      </c>
      <c r="D37" s="25">
        <f>D21</f>
        <v>0.23638558810446719</v>
      </c>
      <c r="E37" s="25">
        <f>D29</f>
        <v>3.2545676582526113E-2</v>
      </c>
      <c r="F37" s="35">
        <f>C37/E37</f>
        <v>-6.4729041374348704</v>
      </c>
      <c r="G37" s="35">
        <f>D37/C37</f>
        <v>-1.1220921275565277</v>
      </c>
      <c r="H37" s="35">
        <f>D37/E37</f>
        <v>7.2631947750437433</v>
      </c>
    </row>
    <row r="38" spans="1:8" x14ac:dyDescent="0.3">
      <c r="A38" s="30">
        <v>2022</v>
      </c>
      <c r="B38" s="30">
        <f>B30</f>
        <v>94424</v>
      </c>
      <c r="C38" s="25">
        <f>D14</f>
        <v>5.5398578645431969E-2</v>
      </c>
      <c r="D38" s="25">
        <f>D22</f>
        <v>-0.36650048825615461</v>
      </c>
      <c r="E38" s="25">
        <f>D30</f>
        <v>8.4236634209075872E-2</v>
      </c>
      <c r="F38" s="35">
        <f>C38/E38</f>
        <v>0.65765422806343776</v>
      </c>
      <c r="G38" s="35">
        <f>D38/C38</f>
        <v>-6.6157020128958735</v>
      </c>
      <c r="H38" s="35">
        <f>D38/E38</f>
        <v>-4.350844400388767</v>
      </c>
    </row>
    <row r="39" spans="1:8" x14ac:dyDescent="0.3">
      <c r="A39" s="29">
        <v>2023</v>
      </c>
      <c r="B39" s="30">
        <f>B31</f>
        <v>92998</v>
      </c>
      <c r="C39" s="25">
        <f>D15</f>
        <v>0.14092162907674835</v>
      </c>
      <c r="D39" s="25">
        <f>D23</f>
        <v>0.121450592244037</v>
      </c>
      <c r="E39" s="25">
        <f>D31</f>
        <v>-1.5102092688299585E-2</v>
      </c>
      <c r="F39" s="35">
        <f>C39/E39</f>
        <v>-9.3312650097776206</v>
      </c>
      <c r="G39" s="35">
        <f>D39/C39</f>
        <v>0.86183074265975812</v>
      </c>
      <c r="H39" s="35">
        <f>D39/E39</f>
        <v>-8.0419710533316611</v>
      </c>
    </row>
    <row r="40" spans="1:8" x14ac:dyDescent="0.3">
      <c r="A40" s="29">
        <v>2024</v>
      </c>
      <c r="B40" s="30">
        <f>B32</f>
        <v>91354</v>
      </c>
      <c r="C40" s="25">
        <f>D16</f>
        <v>4.7002773234729435E-2</v>
      </c>
      <c r="D40" s="25">
        <f>D24</f>
        <v>4.8108225421399115E-2</v>
      </c>
      <c r="E40" s="25">
        <f>D32</f>
        <v>-1.7677799522570377E-2</v>
      </c>
      <c r="F40" s="35">
        <f>C40/E40</f>
        <v>-2.6588588231650658</v>
      </c>
      <c r="G40" s="35">
        <f>D40/C40</f>
        <v>1.0235188715599632</v>
      </c>
      <c r="H40" s="35">
        <f>D40/E40</f>
        <v>-2.7213921823231599</v>
      </c>
    </row>
    <row r="41" spans="1:8" x14ac:dyDescent="0.3">
      <c r="E41" s="34"/>
    </row>
  </sheetData>
  <mergeCells count="3">
    <mergeCell ref="B3:M3"/>
    <mergeCell ref="B4:M4"/>
    <mergeCell ref="B5:M5"/>
  </mergeCells>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774E-207C-4A2F-AB9D-8E28D4DCEC93}">
  <dimension ref="A1:H21"/>
  <sheetViews>
    <sheetView zoomScale="96" zoomScaleNormal="96" workbookViewId="0">
      <selection activeCell="B4" sqref="B4:H4"/>
    </sheetView>
  </sheetViews>
  <sheetFormatPr defaultColWidth="8.77734375" defaultRowHeight="14.4" x14ac:dyDescent="0.3"/>
  <cols>
    <col min="1" max="1" width="13" customWidth="1"/>
    <col min="2" max="2" width="18.88671875" bestFit="1" customWidth="1"/>
    <col min="3" max="3" width="14.77734375" customWidth="1"/>
    <col min="4" max="4" width="18.77734375" bestFit="1" customWidth="1"/>
    <col min="5" max="5" width="16.21875" bestFit="1" customWidth="1"/>
    <col min="6" max="6" width="10.6640625" customWidth="1"/>
    <col min="7" max="7" width="11.44140625" customWidth="1"/>
    <col min="8" max="8" width="13.6640625" customWidth="1"/>
    <col min="13" max="13" width="8.77734375" customWidth="1"/>
  </cols>
  <sheetData>
    <row r="1" spans="1:8" ht="18" x14ac:dyDescent="0.35">
      <c r="A1" s="65" t="s">
        <v>255</v>
      </c>
    </row>
    <row r="2" spans="1:8" ht="18" x14ac:dyDescent="0.35">
      <c r="A2" s="65"/>
    </row>
    <row r="3" spans="1:8" ht="28.8" x14ac:dyDescent="0.3">
      <c r="A3" s="37" t="s">
        <v>77</v>
      </c>
      <c r="B3" s="71" t="s">
        <v>258</v>
      </c>
      <c r="C3" s="71"/>
      <c r="D3" s="71"/>
      <c r="E3" s="71"/>
      <c r="F3" s="71"/>
      <c r="G3" s="71"/>
      <c r="H3" s="71"/>
    </row>
    <row r="4" spans="1:8" ht="28.8" x14ac:dyDescent="0.3">
      <c r="A4" s="37" t="s">
        <v>79</v>
      </c>
      <c r="B4" s="71" t="s">
        <v>251</v>
      </c>
      <c r="C4" s="71"/>
      <c r="D4" s="71"/>
      <c r="E4" s="71"/>
      <c r="F4" s="71"/>
      <c r="G4" s="71"/>
      <c r="H4" s="71"/>
    </row>
    <row r="5" spans="1:8" ht="18" x14ac:dyDescent="0.35">
      <c r="A5" s="65"/>
    </row>
    <row r="7" spans="1:8" s="67" customFormat="1" ht="26.4" customHeight="1" x14ac:dyDescent="0.35">
      <c r="A7" s="66" t="s">
        <v>256</v>
      </c>
    </row>
    <row r="8" spans="1:8" x14ac:dyDescent="0.3">
      <c r="A8" s="1" t="s">
        <v>94</v>
      </c>
      <c r="B8" s="1" t="s">
        <v>98</v>
      </c>
      <c r="C8" s="1" t="s">
        <v>111</v>
      </c>
      <c r="D8" s="1" t="s">
        <v>77</v>
      </c>
    </row>
    <row r="9" spans="1:8" x14ac:dyDescent="0.3">
      <c r="A9">
        <v>2020</v>
      </c>
      <c r="B9">
        <f>'Profit and Loss'!G4</f>
        <v>84343</v>
      </c>
      <c r="C9">
        <f>'Balance Sheet'!G30</f>
        <v>124028</v>
      </c>
      <c r="D9" s="19">
        <f>B9/C9</f>
        <v>0.68003192827426062</v>
      </c>
    </row>
    <row r="10" spans="1:8" x14ac:dyDescent="0.3">
      <c r="A10">
        <v>2021</v>
      </c>
      <c r="B10">
        <f>'Profit and Loss'!F4</f>
        <v>87088</v>
      </c>
      <c r="C10">
        <f>'Balance Sheet'!F30</f>
        <v>139142</v>
      </c>
      <c r="D10" s="19">
        <f>B10/C10</f>
        <v>0.62589297264664878</v>
      </c>
    </row>
    <row r="11" spans="1:8" x14ac:dyDescent="0.3">
      <c r="A11">
        <v>2022</v>
      </c>
      <c r="B11">
        <f>'Profit and Loss'!E4</f>
        <v>94424</v>
      </c>
      <c r="C11">
        <f>'Balance Sheet'!E30</f>
        <v>135182</v>
      </c>
      <c r="D11" s="19">
        <f>B11/C11</f>
        <v>0.69849536180852478</v>
      </c>
    </row>
    <row r="12" spans="1:8" x14ac:dyDescent="0.3">
      <c r="A12">
        <v>2023</v>
      </c>
      <c r="B12">
        <f>'Profit and Loss'!D4</f>
        <v>92998</v>
      </c>
      <c r="C12">
        <f>'Balance Sheet'!D30</f>
        <v>126550</v>
      </c>
      <c r="D12" s="19">
        <f>B12/C12</f>
        <v>0.73487159225602527</v>
      </c>
    </row>
    <row r="13" spans="1:8" x14ac:dyDescent="0.3">
      <c r="A13">
        <v>2024</v>
      </c>
      <c r="B13">
        <f>'Profit and Loss'!C4</f>
        <v>91354</v>
      </c>
      <c r="C13">
        <f>'Balance Sheet'!C30</f>
        <v>139264</v>
      </c>
      <c r="D13" s="19">
        <f>B13/C13</f>
        <v>0.65597713694852944</v>
      </c>
    </row>
    <row r="15" spans="1:8" ht="25.2" customHeight="1" x14ac:dyDescent="0.35">
      <c r="A15" s="66" t="s">
        <v>257</v>
      </c>
    </row>
    <row r="16" spans="1:8" x14ac:dyDescent="0.3">
      <c r="A16" s="26" t="s">
        <v>94</v>
      </c>
      <c r="B16" s="1" t="s">
        <v>101</v>
      </c>
      <c r="C16" s="1" t="s">
        <v>102</v>
      </c>
      <c r="D16" s="1" t="s">
        <v>79</v>
      </c>
    </row>
    <row r="17" spans="1:4" x14ac:dyDescent="0.3">
      <c r="A17" s="21">
        <v>2020</v>
      </c>
      <c r="B17">
        <f>ABS('Profit and Loss'!G6)</f>
        <v>42971</v>
      </c>
      <c r="C17">
        <f>'Balance Sheet'!G10+'Balance Sheet'!H10</f>
        <v>19444</v>
      </c>
      <c r="D17" s="19">
        <f>B17/C17</f>
        <v>2.2099876568607284</v>
      </c>
    </row>
    <row r="18" spans="1:4" x14ac:dyDescent="0.3">
      <c r="A18" s="21">
        <v>2021</v>
      </c>
      <c r="B18">
        <f>ABS('Profit and Loss'!F6)</f>
        <v>45468</v>
      </c>
      <c r="C18">
        <f>'Balance Sheet'!F10+'Balance Sheet'!G10</f>
        <v>22083</v>
      </c>
      <c r="D18" s="19">
        <f>B18/C18</f>
        <v>2.0589593805189512</v>
      </c>
    </row>
    <row r="19" spans="1:4" x14ac:dyDescent="0.3">
      <c r="A19" s="21">
        <v>2022</v>
      </c>
      <c r="B19">
        <f>ABS('Profit and Loss'!E6)</f>
        <v>51745</v>
      </c>
      <c r="C19">
        <f>'Balance Sheet'!E10+'Balance Sheet'!F10</f>
        <v>27001</v>
      </c>
      <c r="D19" s="19">
        <f>B19/C19</f>
        <v>1.9164105033146921</v>
      </c>
    </row>
    <row r="20" spans="1:4" x14ac:dyDescent="0.3">
      <c r="A20" s="21">
        <v>2023</v>
      </c>
      <c r="B20">
        <f>ABS('Profit and Loss'!D6)</f>
        <v>50328</v>
      </c>
      <c r="C20">
        <f>'Balance Sheet'!D10+'Balance Sheet'!E10</f>
        <v>26915</v>
      </c>
      <c r="D20" s="19">
        <f>B20/C20</f>
        <v>1.8698866802898013</v>
      </c>
    </row>
    <row r="21" spans="1:4" x14ac:dyDescent="0.3">
      <c r="A21" s="21">
        <v>2024</v>
      </c>
      <c r="B21">
        <f>ABS('Profit and Loss'!C6)</f>
        <v>48670</v>
      </c>
      <c r="C21">
        <f>'Balance Sheet'!C10+'Balance Sheet'!D10</f>
        <v>25156</v>
      </c>
      <c r="D21" s="19">
        <f>B21/C21</f>
        <v>1.9347273016377802</v>
      </c>
    </row>
  </sheetData>
  <mergeCells count="2">
    <mergeCell ref="B3:H3"/>
    <mergeCell ref="B4:H4"/>
  </mergeCells>
  <pageMargins left="0.7" right="0.7" top="0.75" bottom="0.75" header="0.3" footer="0.3"/>
  <pageSetup paperSize="9"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873B8-2ED6-44E1-BF36-21682AF87029}">
  <dimension ref="A1:O23"/>
  <sheetViews>
    <sheetView zoomScale="99" zoomScaleNormal="99" workbookViewId="0">
      <selection activeCell="B5" sqref="B5"/>
    </sheetView>
  </sheetViews>
  <sheetFormatPr defaultColWidth="8.77734375" defaultRowHeight="14.4" x14ac:dyDescent="0.3"/>
  <cols>
    <col min="2" max="2" width="18.88671875" bestFit="1" customWidth="1"/>
    <col min="3" max="3" width="14.77734375" customWidth="1"/>
    <col min="4" max="4" width="18.77734375" bestFit="1" customWidth="1"/>
    <col min="5" max="5" width="16.21875" bestFit="1" customWidth="1"/>
    <col min="6" max="6" width="10.6640625" customWidth="1"/>
    <col min="7" max="7" width="11.44140625" customWidth="1"/>
    <col min="8" max="8" width="10.21875" bestFit="1" customWidth="1"/>
    <col min="13" max="13" width="8.77734375" customWidth="1"/>
  </cols>
  <sheetData>
    <row r="1" spans="1:15" ht="18" x14ac:dyDescent="0.35">
      <c r="A1" s="65" t="s">
        <v>259</v>
      </c>
    </row>
    <row r="3" spans="1:15" ht="45" customHeight="1" x14ac:dyDescent="0.3">
      <c r="A3" s="37" t="s">
        <v>66</v>
      </c>
      <c r="B3" s="71" t="s">
        <v>273</v>
      </c>
      <c r="C3" s="71"/>
      <c r="D3" s="71"/>
      <c r="E3" s="71"/>
      <c r="F3" s="71"/>
      <c r="G3" s="71"/>
      <c r="H3" s="71"/>
      <c r="I3" s="71"/>
      <c r="J3" s="71"/>
      <c r="K3" s="71"/>
      <c r="L3" s="71"/>
      <c r="M3" s="71"/>
      <c r="N3" s="71"/>
      <c r="O3" s="71"/>
    </row>
    <row r="4" spans="1:15" ht="54" customHeight="1" x14ac:dyDescent="0.3">
      <c r="A4" s="37" t="s">
        <v>67</v>
      </c>
      <c r="B4" s="71" t="s">
        <v>274</v>
      </c>
      <c r="C4" s="71"/>
      <c r="D4" s="71"/>
      <c r="E4" s="71"/>
      <c r="F4" s="71"/>
      <c r="G4" s="71"/>
      <c r="H4" s="71"/>
      <c r="I4" s="71"/>
      <c r="J4" s="71"/>
      <c r="K4" s="71"/>
      <c r="L4" s="71"/>
      <c r="M4" s="71"/>
      <c r="N4" s="71"/>
      <c r="O4" s="71"/>
    </row>
    <row r="7" spans="1:15" x14ac:dyDescent="0.3">
      <c r="A7" s="1" t="s">
        <v>66</v>
      </c>
    </row>
    <row r="8" spans="1:15" x14ac:dyDescent="0.3">
      <c r="A8" s="26" t="s">
        <v>94</v>
      </c>
      <c r="B8" s="1" t="s">
        <v>104</v>
      </c>
      <c r="C8" s="1" t="s">
        <v>103</v>
      </c>
      <c r="D8" s="1" t="s">
        <v>135</v>
      </c>
    </row>
    <row r="9" spans="1:15" x14ac:dyDescent="0.3">
      <c r="A9" s="21">
        <v>2020</v>
      </c>
      <c r="B9">
        <f>'Profit and Loss'!G12</f>
        <v>14233</v>
      </c>
      <c r="C9">
        <f>'Profit and Loss'!G4</f>
        <v>84343</v>
      </c>
      <c r="D9" s="25">
        <f>B9/C9</f>
        <v>0.16875140794138221</v>
      </c>
    </row>
    <row r="10" spans="1:15" x14ac:dyDescent="0.3">
      <c r="A10" s="21">
        <v>2021</v>
      </c>
      <c r="B10">
        <f>'Profit and Loss'!F12</f>
        <v>12159</v>
      </c>
      <c r="C10">
        <f>'Profit and Loss'!F4</f>
        <v>87088</v>
      </c>
      <c r="D10" s="25">
        <f>B10/C10</f>
        <v>0.13961739849347787</v>
      </c>
    </row>
    <row r="11" spans="1:15" x14ac:dyDescent="0.3">
      <c r="A11" s="21">
        <v>2022</v>
      </c>
      <c r="B11">
        <f>'Profit and Loss'!E12</f>
        <v>13195</v>
      </c>
      <c r="C11">
        <f>'Profit and Loss'!E4</f>
        <v>94424</v>
      </c>
      <c r="D11" s="25">
        <f>B11/C11</f>
        <v>0.13974201474201475</v>
      </c>
    </row>
    <row r="12" spans="1:15" x14ac:dyDescent="0.3">
      <c r="A12" s="21">
        <v>2023</v>
      </c>
      <c r="B12">
        <f>'Profit and Loss'!D12</f>
        <v>14520</v>
      </c>
      <c r="C12">
        <f>'Profit and Loss'!D4</f>
        <v>92998</v>
      </c>
      <c r="D12" s="25">
        <f>B12/C12</f>
        <v>0.15613238994386977</v>
      </c>
    </row>
    <row r="13" spans="1:15" x14ac:dyDescent="0.3">
      <c r="A13" s="21">
        <v>2024</v>
      </c>
      <c r="B13">
        <f>'Profit and Loss'!C12</f>
        <v>14633</v>
      </c>
      <c r="C13">
        <f>'Profit and Loss'!C4</f>
        <v>91354</v>
      </c>
      <c r="D13" s="25">
        <f>B13/C13</f>
        <v>0.16017908356503274</v>
      </c>
    </row>
    <row r="16" spans="1:15" x14ac:dyDescent="0.3">
      <c r="A16" s="1" t="s">
        <v>67</v>
      </c>
    </row>
    <row r="17" spans="1:4" x14ac:dyDescent="0.3">
      <c r="A17" s="26" t="s">
        <v>94</v>
      </c>
      <c r="B17" s="1" t="s">
        <v>141</v>
      </c>
      <c r="C17" s="1" t="s">
        <v>106</v>
      </c>
      <c r="D17" s="1" t="s">
        <v>136</v>
      </c>
    </row>
    <row r="18" spans="1:4" x14ac:dyDescent="0.3">
      <c r="A18" s="21">
        <v>2020</v>
      </c>
      <c r="B18">
        <f>'Profit and Loss'!G21</f>
        <v>12372</v>
      </c>
      <c r="C18">
        <f>'Profit and Loss'!G4</f>
        <v>84343</v>
      </c>
      <c r="D18" s="25">
        <f>B18/C18</f>
        <v>0.14668674341676249</v>
      </c>
    </row>
    <row r="19" spans="1:4" x14ac:dyDescent="0.3">
      <c r="A19" s="21">
        <v>2021</v>
      </c>
      <c r="B19">
        <f>'Profit and Loss'!F21</f>
        <v>17196</v>
      </c>
      <c r="C19">
        <f>'Profit and Loss'!F4</f>
        <v>87088</v>
      </c>
      <c r="D19" s="25">
        <f>B19/C19</f>
        <v>0.19745544736358625</v>
      </c>
    </row>
    <row r="20" spans="1:4" x14ac:dyDescent="0.3">
      <c r="A20" s="21">
        <v>2022</v>
      </c>
      <c r="B20">
        <f>'Profit and Loss'!E21</f>
        <v>9596</v>
      </c>
      <c r="C20">
        <f>'Profit and Loss'!E4</f>
        <v>94424</v>
      </c>
      <c r="D20" s="25">
        <f>B20/C20</f>
        <v>0.10162670507498094</v>
      </c>
    </row>
    <row r="21" spans="1:4" x14ac:dyDescent="0.3">
      <c r="A21" s="21">
        <v>2023</v>
      </c>
      <c r="B21">
        <f>'Profit and Loss'!D21</f>
        <v>11509</v>
      </c>
      <c r="C21">
        <f>'Profit and Loss'!D4</f>
        <v>92998</v>
      </c>
      <c r="D21" s="25">
        <f>B21/C21</f>
        <v>0.12375534957741027</v>
      </c>
    </row>
    <row r="22" spans="1:4" x14ac:dyDescent="0.3">
      <c r="A22" s="21">
        <v>2024</v>
      </c>
      <c r="B22">
        <f>'Profit and Loss'!C21</f>
        <v>11174</v>
      </c>
      <c r="C22">
        <f>'Profit and Loss'!C4</f>
        <v>91354</v>
      </c>
      <c r="D22" s="25">
        <f>B22/C22</f>
        <v>0.12231538848873613</v>
      </c>
    </row>
    <row r="23" spans="1:4" x14ac:dyDescent="0.3">
      <c r="D23" s="19"/>
    </row>
  </sheetData>
  <mergeCells count="2">
    <mergeCell ref="B3:O3"/>
    <mergeCell ref="B4:O4"/>
  </mergeCells>
  <pageMargins left="0.7" right="0.7" top="0.75" bottom="0.75" header="0.3" footer="0.3"/>
  <pageSetup paperSize="9"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FFCA-172C-4B0D-AA58-BA29FACB11FD}">
  <dimension ref="A1:N30"/>
  <sheetViews>
    <sheetView zoomScale="99" zoomScaleNormal="99" workbookViewId="0">
      <selection activeCell="B5" sqref="B5:N5"/>
    </sheetView>
  </sheetViews>
  <sheetFormatPr defaultColWidth="8.77734375" defaultRowHeight="14.4" x14ac:dyDescent="0.3"/>
  <cols>
    <col min="1" max="1" width="11.44140625" customWidth="1"/>
    <col min="2" max="2" width="18.88671875" bestFit="1" customWidth="1"/>
    <col min="3" max="3" width="14.77734375" customWidth="1"/>
    <col min="4" max="4" width="18.77734375" bestFit="1" customWidth="1"/>
    <col min="5" max="5" width="16.21875" bestFit="1" customWidth="1"/>
    <col min="6" max="6" width="10.6640625" customWidth="1"/>
    <col min="7" max="7" width="11.44140625" customWidth="1"/>
    <col min="8" max="8" width="10.21875" bestFit="1" customWidth="1"/>
    <col min="13" max="13" width="8.77734375" customWidth="1"/>
  </cols>
  <sheetData>
    <row r="1" spans="1:14" ht="18" x14ac:dyDescent="0.35">
      <c r="A1" s="65" t="s">
        <v>265</v>
      </c>
      <c r="D1" s="19"/>
    </row>
    <row r="2" spans="1:14" ht="18" x14ac:dyDescent="0.35">
      <c r="A2" s="65"/>
      <c r="D2" s="19"/>
    </row>
    <row r="3" spans="1:14" ht="28.8" x14ac:dyDescent="0.3">
      <c r="A3" s="37" t="s">
        <v>81</v>
      </c>
      <c r="B3" s="71" t="s">
        <v>266</v>
      </c>
      <c r="C3" s="71"/>
      <c r="D3" s="71"/>
      <c r="E3" s="71"/>
      <c r="F3" s="71"/>
      <c r="G3" s="71"/>
      <c r="H3" s="71"/>
      <c r="I3" s="71"/>
      <c r="J3" s="71"/>
      <c r="K3" s="71"/>
      <c r="L3" s="71"/>
      <c r="M3" s="71"/>
      <c r="N3" s="71"/>
    </row>
    <row r="4" spans="1:14" ht="43.2" x14ac:dyDescent="0.3">
      <c r="A4" s="37" t="s">
        <v>82</v>
      </c>
      <c r="B4" s="71" t="s">
        <v>267</v>
      </c>
      <c r="C4" s="71"/>
      <c r="D4" s="71"/>
      <c r="E4" s="71"/>
      <c r="F4" s="71"/>
      <c r="G4" s="71"/>
      <c r="H4" s="71"/>
      <c r="I4" s="71"/>
      <c r="J4" s="71"/>
      <c r="K4" s="71"/>
      <c r="L4" s="71"/>
      <c r="M4" s="71"/>
      <c r="N4" s="71"/>
    </row>
    <row r="5" spans="1:14" ht="28.8" x14ac:dyDescent="0.3">
      <c r="A5" s="37" t="s">
        <v>83</v>
      </c>
      <c r="B5" s="71" t="s">
        <v>268</v>
      </c>
      <c r="C5" s="71"/>
      <c r="D5" s="71"/>
      <c r="E5" s="71"/>
      <c r="F5" s="71"/>
      <c r="G5" s="71"/>
      <c r="H5" s="71"/>
      <c r="I5" s="71"/>
      <c r="J5" s="71"/>
      <c r="K5" s="71"/>
      <c r="L5" s="71"/>
      <c r="M5" s="71"/>
      <c r="N5" s="71"/>
    </row>
    <row r="6" spans="1:14" x14ac:dyDescent="0.3">
      <c r="D6" s="19"/>
    </row>
    <row r="7" spans="1:14" x14ac:dyDescent="0.3">
      <c r="D7" s="19"/>
    </row>
    <row r="8" spans="1:14" x14ac:dyDescent="0.3">
      <c r="A8" s="1" t="s">
        <v>262</v>
      </c>
      <c r="D8" s="19"/>
    </row>
    <row r="9" spans="1:14" x14ac:dyDescent="0.3">
      <c r="A9" s="22" t="s">
        <v>94</v>
      </c>
      <c r="B9" s="23" t="s">
        <v>252</v>
      </c>
      <c r="C9" s="23" t="s">
        <v>108</v>
      </c>
      <c r="D9" s="23" t="s">
        <v>137</v>
      </c>
    </row>
    <row r="10" spans="1:14" x14ac:dyDescent="0.3">
      <c r="A10" s="21">
        <v>2020</v>
      </c>
      <c r="B10">
        <f>'Profit and Loss'!G24</f>
        <v>12232</v>
      </c>
      <c r="C10">
        <f>'Balance Sheet'!G61</f>
        <v>45695</v>
      </c>
      <c r="D10" s="25">
        <f>B10/C10</f>
        <v>0.26768793084582559</v>
      </c>
    </row>
    <row r="11" spans="1:14" x14ac:dyDescent="0.3">
      <c r="A11" s="21">
        <v>2021</v>
      </c>
      <c r="B11">
        <f>'Profit and Loss'!F24</f>
        <v>16905</v>
      </c>
      <c r="C11">
        <f>'Balance Sheet'!F61</f>
        <v>53140</v>
      </c>
      <c r="D11" s="25">
        <f>B11/C11</f>
        <v>0.31812194203989463</v>
      </c>
    </row>
    <row r="12" spans="1:14" x14ac:dyDescent="0.3">
      <c r="A12" s="21">
        <v>2022</v>
      </c>
      <c r="B12">
        <f>'Profit and Loss'!E24</f>
        <v>9270</v>
      </c>
      <c r="C12">
        <f>'Balance Sheet'!E61</f>
        <v>41982</v>
      </c>
      <c r="D12" s="25">
        <f>B12/C12</f>
        <v>0.22080891810776046</v>
      </c>
    </row>
    <row r="13" spans="1:14" x14ac:dyDescent="0.3">
      <c r="A13" s="21">
        <v>2023</v>
      </c>
      <c r="B13">
        <f>'Profit and Loss'!D24</f>
        <v>11209</v>
      </c>
      <c r="C13">
        <f>'Balance Sheet'!D61</f>
        <v>35742</v>
      </c>
      <c r="D13" s="25">
        <f>B13/C13</f>
        <v>0.31360863969559621</v>
      </c>
    </row>
    <row r="14" spans="1:14" x14ac:dyDescent="0.3">
      <c r="A14" s="21">
        <v>2024</v>
      </c>
      <c r="B14">
        <f>'Profit and Loss'!C24</f>
        <v>10884</v>
      </c>
      <c r="C14">
        <f>'Balance Sheet'!C61</f>
        <v>35917</v>
      </c>
      <c r="D14" s="25">
        <f>B14/C14</f>
        <v>0.30303199042236267</v>
      </c>
    </row>
    <row r="16" spans="1:14" x14ac:dyDescent="0.3">
      <c r="A16" s="1" t="s">
        <v>263</v>
      </c>
    </row>
    <row r="17" spans="1:4" x14ac:dyDescent="0.3">
      <c r="A17" s="26" t="s">
        <v>94</v>
      </c>
      <c r="B17" s="1" t="s">
        <v>138</v>
      </c>
      <c r="C17" s="1" t="s">
        <v>116</v>
      </c>
      <c r="D17" s="1" t="s">
        <v>139</v>
      </c>
    </row>
    <row r="18" spans="1:4" x14ac:dyDescent="0.3">
      <c r="A18" s="21">
        <v>2020</v>
      </c>
      <c r="B18">
        <f>'Profit and Loss'!G15</f>
        <v>14796</v>
      </c>
      <c r="C18">
        <f>'Balance Sheet'!G30-'Balance Sheet'!G42</f>
        <v>84306</v>
      </c>
      <c r="D18" s="25">
        <f>B18/C18</f>
        <v>0.17550352288093374</v>
      </c>
    </row>
    <row r="19" spans="1:4" x14ac:dyDescent="0.3">
      <c r="A19" s="21">
        <v>2021</v>
      </c>
      <c r="B19">
        <f>'Profit and Loss'!F15</f>
        <v>11679</v>
      </c>
      <c r="C19">
        <f>'Balance Sheet'!F30-'Balance Sheet'!F42</f>
        <v>99122</v>
      </c>
      <c r="D19" s="25">
        <f>B19/C19</f>
        <v>0.11782449910211658</v>
      </c>
    </row>
    <row r="20" spans="1:4" x14ac:dyDescent="0.3">
      <c r="A20" s="21">
        <v>2022</v>
      </c>
      <c r="B20">
        <f>'Profit and Loss'!E15</f>
        <v>12326</v>
      </c>
      <c r="C20">
        <f>'Balance Sheet'!E30-'Balance Sheet'!E42</f>
        <v>95206</v>
      </c>
      <c r="D20" s="25">
        <f>B20/C20</f>
        <v>0.12946663025439573</v>
      </c>
    </row>
    <row r="21" spans="1:4" x14ac:dyDescent="0.3">
      <c r="A21" s="21">
        <v>2023</v>
      </c>
      <c r="B21">
        <f>'Profit and Loss'!D15</f>
        <v>14063</v>
      </c>
      <c r="C21">
        <f>'Balance Sheet'!D30-'Balance Sheet'!D42</f>
        <v>89466</v>
      </c>
      <c r="D21" s="25">
        <f>B21/C21</f>
        <v>0.15718820557530236</v>
      </c>
    </row>
    <row r="22" spans="1:4" x14ac:dyDescent="0.3">
      <c r="A22" s="21">
        <v>2024</v>
      </c>
      <c r="B22">
        <f>'Profit and Loss'!C15</f>
        <v>14724</v>
      </c>
      <c r="C22">
        <f>'Balance Sheet'!C30-'Balance Sheet'!C42</f>
        <v>96401</v>
      </c>
      <c r="D22" s="25">
        <f>B22/C22</f>
        <v>0.15273700480285474</v>
      </c>
    </row>
    <row r="24" spans="1:4" x14ac:dyDescent="0.3">
      <c r="A24" s="1" t="s">
        <v>264</v>
      </c>
    </row>
    <row r="25" spans="1:4" x14ac:dyDescent="0.3">
      <c r="A25" s="26" t="s">
        <v>94</v>
      </c>
      <c r="B25" s="1" t="s">
        <v>105</v>
      </c>
      <c r="C25" s="1" t="s">
        <v>111</v>
      </c>
      <c r="D25" s="1" t="s">
        <v>140</v>
      </c>
    </row>
    <row r="26" spans="1:4" x14ac:dyDescent="0.3">
      <c r="A26" s="21">
        <v>2020</v>
      </c>
      <c r="B26">
        <f>'Profit and Loss'!G24</f>
        <v>12232</v>
      </c>
      <c r="C26">
        <f>'Balance Sheet'!G30</f>
        <v>124028</v>
      </c>
      <c r="D26" s="25">
        <f>B26/C26</f>
        <v>9.8622891605121429E-2</v>
      </c>
    </row>
    <row r="27" spans="1:4" x14ac:dyDescent="0.3">
      <c r="A27" s="21">
        <v>2021</v>
      </c>
      <c r="B27">
        <f>'Profit and Loss'!F24</f>
        <v>16905</v>
      </c>
      <c r="C27">
        <f>'Balance Sheet'!F30</f>
        <v>139142</v>
      </c>
      <c r="D27" s="25">
        <f>B27/C27</f>
        <v>0.1214945882623507</v>
      </c>
    </row>
    <row r="28" spans="1:4" x14ac:dyDescent="0.3">
      <c r="A28" s="21">
        <v>2022</v>
      </c>
      <c r="B28">
        <f>'Profit and Loss'!E24</f>
        <v>9270</v>
      </c>
      <c r="C28">
        <f>'Balance Sheet'!E30</f>
        <v>135182</v>
      </c>
      <c r="D28" s="25">
        <f>B28/C28</f>
        <v>6.8574218461037714E-2</v>
      </c>
    </row>
    <row r="29" spans="1:4" x14ac:dyDescent="0.3">
      <c r="A29" s="21">
        <v>2023</v>
      </c>
      <c r="B29">
        <f>'Profit and Loss'!D24</f>
        <v>11209</v>
      </c>
      <c r="C29">
        <f>'Balance Sheet'!D30</f>
        <v>126550</v>
      </c>
      <c r="D29" s="25">
        <f>B29/C29</f>
        <v>8.857368629000395E-2</v>
      </c>
    </row>
    <row r="30" spans="1:4" x14ac:dyDescent="0.3">
      <c r="A30" s="21">
        <v>2024</v>
      </c>
      <c r="B30">
        <f>'Profit and Loss'!C24</f>
        <v>10884</v>
      </c>
      <c r="C30">
        <f>'Balance Sheet'!C30</f>
        <v>139264</v>
      </c>
      <c r="D30" s="25">
        <f>B30/C30</f>
        <v>7.815372242647059E-2</v>
      </c>
    </row>
  </sheetData>
  <mergeCells count="3">
    <mergeCell ref="B3:N3"/>
    <mergeCell ref="B4:N4"/>
    <mergeCell ref="B5:N5"/>
  </mergeCells>
  <pageMargins left="0.7" right="0.7" top="0.75" bottom="0.75" header="0.3" footer="0.3"/>
  <pageSetup paperSize="9"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0CA12-7221-45D6-8E56-66618767C94D}">
  <dimension ref="A1:P16"/>
  <sheetViews>
    <sheetView zoomScale="98" zoomScaleNormal="98" workbookViewId="0">
      <selection activeCell="B7" sqref="B7"/>
    </sheetView>
  </sheetViews>
  <sheetFormatPr defaultColWidth="8.77734375" defaultRowHeight="14.4" x14ac:dyDescent="0.3"/>
  <cols>
    <col min="1" max="1" width="11.6640625" customWidth="1"/>
    <col min="2" max="2" width="18.88671875" bestFit="1" customWidth="1"/>
    <col min="3" max="3" width="14.77734375" customWidth="1"/>
    <col min="4" max="4" width="18.77734375" bestFit="1" customWidth="1"/>
    <col min="5" max="5" width="16.21875" bestFit="1" customWidth="1"/>
    <col min="6" max="6" width="11.88671875" bestFit="1" customWidth="1"/>
    <col min="7" max="7" width="11.44140625" customWidth="1"/>
    <col min="8" max="8" width="10.77734375" bestFit="1" customWidth="1"/>
    <col min="13" max="13" width="8.77734375" customWidth="1"/>
  </cols>
  <sheetData>
    <row r="1" spans="1:16" ht="18" x14ac:dyDescent="0.35">
      <c r="A1" s="65" t="s">
        <v>275</v>
      </c>
    </row>
    <row r="2" spans="1:16" ht="18" x14ac:dyDescent="0.35">
      <c r="A2" s="65"/>
    </row>
    <row r="3" spans="1:16" s="20" customFormat="1" ht="39" customHeight="1" x14ac:dyDescent="0.3">
      <c r="A3" s="37" t="s">
        <v>70</v>
      </c>
      <c r="B3" s="71" t="s">
        <v>133</v>
      </c>
      <c r="C3" s="71"/>
      <c r="D3" s="71"/>
      <c r="E3" s="71"/>
      <c r="F3" s="71"/>
      <c r="G3" s="71"/>
      <c r="H3" s="71"/>
      <c r="I3" s="71"/>
      <c r="J3" s="71"/>
      <c r="K3" s="71"/>
      <c r="L3" s="71"/>
      <c r="M3" s="71"/>
      <c r="N3" s="71"/>
    </row>
    <row r="4" spans="1:16" s="20" customFormat="1" ht="39" customHeight="1" x14ac:dyDescent="0.3">
      <c r="A4" s="37" t="s">
        <v>86</v>
      </c>
      <c r="B4" s="71" t="s">
        <v>151</v>
      </c>
      <c r="C4" s="71"/>
      <c r="D4" s="71"/>
      <c r="E4" s="71"/>
      <c r="F4" s="71"/>
      <c r="G4" s="71"/>
      <c r="H4" s="71"/>
      <c r="I4" s="71"/>
      <c r="J4" s="71"/>
      <c r="K4" s="71"/>
      <c r="L4" s="71"/>
      <c r="M4" s="71"/>
      <c r="N4" s="71"/>
    </row>
    <row r="5" spans="1:16" s="20" customFormat="1" ht="58.8" customHeight="1" x14ac:dyDescent="0.3">
      <c r="A5" s="37" t="s">
        <v>85</v>
      </c>
      <c r="B5" s="71" t="s">
        <v>153</v>
      </c>
      <c r="C5" s="71"/>
      <c r="D5" s="71"/>
      <c r="E5" s="71"/>
      <c r="F5" s="71"/>
      <c r="G5" s="71"/>
      <c r="H5" s="71"/>
      <c r="I5" s="71"/>
      <c r="J5" s="71"/>
      <c r="K5" s="71"/>
      <c r="L5" s="71"/>
      <c r="M5" s="71"/>
      <c r="N5" s="71"/>
      <c r="O5" s="36"/>
      <c r="P5" s="36"/>
    </row>
    <row r="6" spans="1:16" ht="54.6" customHeight="1" x14ac:dyDescent="0.3">
      <c r="A6" s="37" t="s">
        <v>87</v>
      </c>
      <c r="B6" s="71" t="s">
        <v>278</v>
      </c>
      <c r="C6" s="71"/>
      <c r="D6" s="71"/>
      <c r="E6" s="71"/>
      <c r="F6" s="71"/>
      <c r="G6" s="71"/>
      <c r="H6" s="71"/>
      <c r="I6" s="71"/>
      <c r="J6" s="71"/>
      <c r="K6" s="71"/>
      <c r="L6" s="71"/>
      <c r="M6" s="71"/>
      <c r="N6" s="71"/>
    </row>
    <row r="7" spans="1:16" x14ac:dyDescent="0.3">
      <c r="A7" s="37"/>
      <c r="B7" s="36"/>
      <c r="C7" s="36"/>
      <c r="D7" s="36"/>
      <c r="E7" s="36"/>
      <c r="F7" s="36"/>
      <c r="G7" s="36"/>
      <c r="H7" s="36"/>
      <c r="I7" s="36"/>
      <c r="J7" s="36"/>
      <c r="K7" s="36"/>
      <c r="L7" s="36"/>
      <c r="M7" s="36"/>
      <c r="N7" s="36"/>
    </row>
    <row r="8" spans="1:16" x14ac:dyDescent="0.3">
      <c r="A8" s="37" t="s">
        <v>275</v>
      </c>
      <c r="B8" s="70" t="s">
        <v>277</v>
      </c>
      <c r="C8" s="70"/>
      <c r="D8" s="70"/>
      <c r="E8" s="70"/>
      <c r="F8" s="70"/>
      <c r="G8" s="70"/>
      <c r="H8" s="70"/>
      <c r="I8" s="70"/>
      <c r="J8" s="70"/>
      <c r="K8" s="70"/>
      <c r="L8" s="70"/>
      <c r="M8" s="70"/>
      <c r="N8" s="70"/>
    </row>
    <row r="9" spans="1:16" x14ac:dyDescent="0.3">
      <c r="B9" s="72"/>
      <c r="C9" s="72"/>
      <c r="D9" s="72"/>
      <c r="E9" s="72"/>
      <c r="F9" s="72"/>
      <c r="G9" s="72"/>
      <c r="H9" s="72"/>
      <c r="I9" s="72"/>
      <c r="J9" s="72"/>
      <c r="K9" s="72"/>
      <c r="L9" s="72"/>
      <c r="M9" s="72"/>
      <c r="N9" s="72"/>
    </row>
    <row r="10" spans="1:16" x14ac:dyDescent="0.3">
      <c r="A10" s="1"/>
    </row>
    <row r="11" spans="1:16" ht="43.2" x14ac:dyDescent="0.3">
      <c r="A11" s="68" t="s">
        <v>94</v>
      </c>
      <c r="B11" s="2" t="s">
        <v>112</v>
      </c>
      <c r="C11" s="2" t="s">
        <v>113</v>
      </c>
      <c r="D11" s="2" t="s">
        <v>70</v>
      </c>
      <c r="E11" s="2" t="s">
        <v>86</v>
      </c>
      <c r="F11" s="2" t="s">
        <v>148</v>
      </c>
      <c r="G11" s="2" t="s">
        <v>85</v>
      </c>
      <c r="H11" s="37" t="s">
        <v>269</v>
      </c>
    </row>
    <row r="12" spans="1:16" x14ac:dyDescent="0.3">
      <c r="A12" s="21">
        <v>2020</v>
      </c>
      <c r="B12">
        <f>'Profit and Loss'!G24</f>
        <v>12232</v>
      </c>
      <c r="C12">
        <f>'Balance Sheet'!G72</f>
        <v>2845</v>
      </c>
      <c r="D12" s="19">
        <f>B12/C12</f>
        <v>4.2994727592267132</v>
      </c>
      <c r="E12">
        <v>2.75</v>
      </c>
      <c r="F12">
        <f>'Profit and Loss'!G29</f>
        <v>104.26</v>
      </c>
      <c r="G12" s="19">
        <f>F12/D12</f>
        <v>24.249484957488558</v>
      </c>
      <c r="H12" s="19">
        <f>$F12/(('Balance Sheet'!G$30-'Balance Sheet'!G$53)/'Balance Sheet'!G$70)</f>
        <v>6.457691447736166</v>
      </c>
    </row>
    <row r="13" spans="1:16" x14ac:dyDescent="0.3">
      <c r="A13" s="21">
        <v>2021</v>
      </c>
      <c r="B13">
        <f>'Profit and Loss'!F24</f>
        <v>16905</v>
      </c>
      <c r="C13">
        <f>'Balance Sheet'!F73</f>
        <v>2791</v>
      </c>
      <c r="D13" s="19">
        <f>B13/C13</f>
        <v>6.0569688283769256</v>
      </c>
      <c r="E13">
        <v>2.8</v>
      </c>
      <c r="F13">
        <f>'Profit and Loss'!F29</f>
        <v>127.44</v>
      </c>
      <c r="G13" s="19">
        <f t="shared" ref="G13:G16" si="0">F13/D13</f>
        <v>21.040227151730257</v>
      </c>
      <c r="H13" s="19">
        <f>$F13/(('Balance Sheet'!F$30-'Balance Sheet'!F$53)/'Balance Sheet'!F$70)</f>
        <v>6.6771567368362268</v>
      </c>
    </row>
    <row r="14" spans="1:16" x14ac:dyDescent="0.3">
      <c r="A14" s="21">
        <v>2022</v>
      </c>
      <c r="B14">
        <f>'Profit and Loss'!E24</f>
        <v>9270</v>
      </c>
      <c r="C14">
        <f>'Balance Sheet'!E73</f>
        <v>2709</v>
      </c>
      <c r="D14" s="19">
        <f>B14/C14</f>
        <v>3.4219269102990033</v>
      </c>
      <c r="E14">
        <v>2.95</v>
      </c>
      <c r="F14">
        <f>'Profit and Loss'!E29</f>
        <v>107.41</v>
      </c>
      <c r="G14" s="19">
        <f t="shared" si="0"/>
        <v>31.388747572815532</v>
      </c>
      <c r="H14" s="19">
        <f>$F14/(('Balance Sheet'!E$30-'Balance Sheet'!E$53)/'Balance Sheet'!E$70)</f>
        <v>6.902633669844831</v>
      </c>
    </row>
    <row r="15" spans="1:16" x14ac:dyDescent="0.3">
      <c r="A15" s="21">
        <v>2023</v>
      </c>
      <c r="B15">
        <f>'Profit and Loss'!D24</f>
        <v>11209</v>
      </c>
      <c r="C15">
        <f>'Balance Sheet'!D73</f>
        <v>2648</v>
      </c>
      <c r="D15" s="19">
        <f>B15/C15</f>
        <v>4.2330060422960729</v>
      </c>
      <c r="E15" s="19">
        <v>3</v>
      </c>
      <c r="F15">
        <f>'Profit and Loss'!D29</f>
        <v>97.51</v>
      </c>
      <c r="G15" s="19">
        <f t="shared" si="0"/>
        <v>23.035639218485144</v>
      </c>
      <c r="H15" s="19">
        <f>$F15/(('Balance Sheet'!D$30-'Balance Sheet'!D$53)/'Balance Sheet'!D$70)</f>
        <v>7.1550746145601458</v>
      </c>
    </row>
    <row r="16" spans="1:16" x14ac:dyDescent="0.3">
      <c r="A16" s="21">
        <v>2024</v>
      </c>
      <c r="B16">
        <f>'Profit and Loss'!C24</f>
        <v>10884</v>
      </c>
      <c r="C16">
        <f>'Balance Sheet'!C73</f>
        <v>2599</v>
      </c>
      <c r="D16" s="19">
        <f>B16/C16</f>
        <v>4.1877645248172373</v>
      </c>
      <c r="E16">
        <v>3.05</v>
      </c>
      <c r="F16">
        <f>'Profit and Loss'!C29</f>
        <v>74.88</v>
      </c>
      <c r="G16" s="19">
        <f t="shared" si="0"/>
        <v>17.880661521499448</v>
      </c>
      <c r="H16" s="19">
        <f>$F16/(('Balance Sheet'!C$30-'Balance Sheet'!C$53)/'Balance Sheet'!C$70)</f>
        <v>5.3466764778023057</v>
      </c>
    </row>
  </sheetData>
  <mergeCells count="6">
    <mergeCell ref="B9:N9"/>
    <mergeCell ref="B3:N3"/>
    <mergeCell ref="B4:N4"/>
    <mergeCell ref="B5:N5"/>
    <mergeCell ref="B6:N6"/>
    <mergeCell ref="B8:N8"/>
  </mergeCells>
  <pageMargins left="0.7" right="0.7" top="0.75" bottom="0.75" header="0.3" footer="0.3"/>
  <pageSetup paperSize="9"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633D-30ED-44C9-8AA9-CB6A265F59FC}">
  <dimension ref="A1:H32"/>
  <sheetViews>
    <sheetView workbookViewId="0">
      <selection activeCell="H7" sqref="H7"/>
    </sheetView>
  </sheetViews>
  <sheetFormatPr defaultColWidth="8.77734375" defaultRowHeight="14.4" x14ac:dyDescent="0.3"/>
  <cols>
    <col min="1" max="1" width="26.33203125" customWidth="1"/>
    <col min="2" max="2" width="10.5546875" bestFit="1" customWidth="1"/>
    <col min="8" max="8" width="105.77734375" customWidth="1"/>
  </cols>
  <sheetData>
    <row r="1" spans="1:8" s="1" customFormat="1" x14ac:dyDescent="0.3">
      <c r="A1" s="1" t="s">
        <v>1</v>
      </c>
      <c r="B1" s="1">
        <v>2024</v>
      </c>
      <c r="C1" s="1">
        <v>2023</v>
      </c>
      <c r="D1" s="1">
        <v>2022</v>
      </c>
      <c r="E1" s="1">
        <v>2021</v>
      </c>
      <c r="F1" s="1">
        <v>2020</v>
      </c>
    </row>
    <row r="3" spans="1:8" x14ac:dyDescent="0.3">
      <c r="A3" s="1" t="s">
        <v>74</v>
      </c>
    </row>
    <row r="4" spans="1:8" ht="28.8" x14ac:dyDescent="0.3">
      <c r="A4" t="s">
        <v>71</v>
      </c>
      <c r="B4" s="18">
        <f>IFERROR('Balance Sheet'!C16/'Balance Sheet'!C42,"")</f>
        <v>0.82094113804446722</v>
      </c>
      <c r="C4" s="18">
        <f>IFERROR('Balance Sheet'!D16/'Balance Sheet'!D42,"")</f>
        <v>0.83208391759249267</v>
      </c>
      <c r="D4" s="18">
        <f>IFERROR('Balance Sheet'!E16/'Balance Sheet'!E42,"")</f>
        <v>0.87707624574744847</v>
      </c>
      <c r="E4" s="18">
        <f>IFERROR('Balance Sheet'!F16/'Balance Sheet'!F42,"")</f>
        <v>0.98093453273363318</v>
      </c>
      <c r="F4" s="18">
        <f>IFERROR('Balance Sheet'!G16/'Balance Sheet'!G42,"")</f>
        <v>0.85766074215799804</v>
      </c>
      <c r="H4" s="20" t="s">
        <v>91</v>
      </c>
    </row>
    <row r="5" spans="1:8" x14ac:dyDescent="0.3">
      <c r="A5" t="s">
        <v>72</v>
      </c>
      <c r="B5" s="18">
        <f>IFERROR(('Balance Sheet'!C16-'Balance Sheet'!C10)/'Balance Sheet'!C42,"")</f>
        <v>0.51158341693301912</v>
      </c>
      <c r="C5" s="18">
        <f>IFERROR(('Balance Sheet'!D16-'Balance Sheet'!D10)/'Balance Sheet'!D42,"")</f>
        <v>0.51129867328227807</v>
      </c>
      <c r="D5" s="18">
        <f>IFERROR(('Balance Sheet'!E16-'Balance Sheet'!E10)/'Balance Sheet'!E42,"")</f>
        <v>0.50137582549529713</v>
      </c>
      <c r="E5" s="18">
        <f>IFERROR(('Balance Sheet'!F16-'Balance Sheet'!F10)/'Balance Sheet'!F42,"")</f>
        <v>0.68153423288355819</v>
      </c>
      <c r="F5" s="18">
        <f>IFERROR(('Balance Sheet'!G16-'Balance Sheet'!G10)/'Balance Sheet'!G42,"")</f>
        <v>0.60336841045264589</v>
      </c>
    </row>
    <row r="6" spans="1:8" x14ac:dyDescent="0.3">
      <c r="A6" t="s">
        <v>73</v>
      </c>
      <c r="B6" s="18">
        <f>IFERROR('Balance Sheet'!C8/'Balance Sheet'!C42,"")</f>
        <v>0.12962228495438957</v>
      </c>
      <c r="C6" s="18">
        <f>IFERROR('Balance Sheet'!D8/'Balance Sheet'!D42,"")</f>
        <v>0.12986732822780714</v>
      </c>
      <c r="D6" s="18">
        <f>IFERROR('Balance Sheet'!E8/'Balance Sheet'!E42,"")</f>
        <v>0.13785771462877727</v>
      </c>
      <c r="E6" s="18">
        <f>IFERROR('Balance Sheet'!F8/'Balance Sheet'!F42,"")</f>
        <v>0.17461269365317342</v>
      </c>
      <c r="F6" s="18">
        <f>IFERROR('Balance Sheet'!G8/'Balance Sheet'!G42,"")</f>
        <v>0.13179094708222144</v>
      </c>
      <c r="H6" t="s">
        <v>89</v>
      </c>
    </row>
    <row r="9" spans="1:8" x14ac:dyDescent="0.3">
      <c r="A9" s="1" t="s">
        <v>75</v>
      </c>
    </row>
    <row r="10" spans="1:8" x14ac:dyDescent="0.3">
      <c r="A10" t="s">
        <v>76</v>
      </c>
      <c r="B10" s="19">
        <f>IFERROR(('Balance Sheet'!C35+'Balance Sheet'!C45)/'Balance Sheet'!C63,"")</f>
        <v>1.7322105033657647</v>
      </c>
      <c r="C10" s="19">
        <f>IFERROR(('Balance Sheet'!D35+'Balance Sheet'!D45)/'Balance Sheet'!D63,"")</f>
        <v>1.51815208728392</v>
      </c>
      <c r="D10" s="19">
        <f>IFERROR(('Balance Sheet'!E35+'Balance Sheet'!E45)/'Balance Sheet'!E63,"")</f>
        <v>1.269209197980931</v>
      </c>
      <c r="E10" s="19">
        <f>IFERROR(('Balance Sheet'!F35+'Balance Sheet'!F45)/'Balance Sheet'!F63,"")</f>
        <v>0.86686396039235392</v>
      </c>
      <c r="F10" s="19">
        <f>IFERROR(('Balance Sheet'!G35+'Balance Sheet'!G45)/'Balance Sheet'!G63,"")</f>
        <v>0.85881670034828228</v>
      </c>
    </row>
    <row r="13" spans="1:8" x14ac:dyDescent="0.3">
      <c r="A13" s="1" t="s">
        <v>78</v>
      </c>
    </row>
    <row r="14" spans="1:8" x14ac:dyDescent="0.3">
      <c r="A14" t="s">
        <v>77</v>
      </c>
      <c r="B14" s="19">
        <f>IFERROR('Profit and Loss'!C4/'Balance Sheet'!C30,"")</f>
        <v>0.65597713694852944</v>
      </c>
      <c r="C14" s="19">
        <f>IFERROR('Profit and Loss'!D4/'Balance Sheet'!D30,"")</f>
        <v>0.73487159225602527</v>
      </c>
      <c r="D14" s="19">
        <f>IFERROR('Profit and Loss'!E4/'Balance Sheet'!E30,"")</f>
        <v>0.69849536180852478</v>
      </c>
      <c r="E14" s="19">
        <f>IFERROR('Profit and Loss'!F4/'Balance Sheet'!F30,"")</f>
        <v>0.62589297264664878</v>
      </c>
      <c r="F14" s="19">
        <f>IFERROR('Profit and Loss'!G4/'Balance Sheet'!G30,"")</f>
        <v>0.68003192827426062</v>
      </c>
    </row>
    <row r="15" spans="1:8" x14ac:dyDescent="0.3">
      <c r="A15" t="s">
        <v>79</v>
      </c>
      <c r="B15" s="19">
        <f>IFERROR((ABS('Profit and Loss'!C6)/('Balance Sheet'!C10+'Balance Sheet'!D10)),"")</f>
        <v>1.9347273016377802</v>
      </c>
      <c r="C15" s="19">
        <f>IFERROR((ABS('Profit and Loss'!D6)/('Balance Sheet'!D10+'Balance Sheet'!E10)),"")</f>
        <v>1.8698866802898013</v>
      </c>
      <c r="D15" s="19">
        <f>IFERROR((ABS('Profit and Loss'!E6)/('Balance Sheet'!E10+'Balance Sheet'!F10)),"")</f>
        <v>1.9164105033146921</v>
      </c>
      <c r="E15" s="19">
        <f>IFERROR((ABS('Profit and Loss'!F6)/('Balance Sheet'!F10+'Balance Sheet'!G10)),"")</f>
        <v>2.0589593805189512</v>
      </c>
      <c r="F15" s="19">
        <f>IFERROR((ABS('Profit and Loss'!G6)/('Balance Sheet'!G10+'Balance Sheet'!H10)),"")</f>
        <v>2.2099876568607284</v>
      </c>
    </row>
    <row r="18" spans="1:8" x14ac:dyDescent="0.3">
      <c r="A18" s="1" t="s">
        <v>80</v>
      </c>
    </row>
    <row r="19" spans="1:8" x14ac:dyDescent="0.3">
      <c r="A19" t="s">
        <v>66</v>
      </c>
      <c r="B19" s="15">
        <f>IFERROR('Profit and Loss'!C12/'Profit and Loss'!C4,"")</f>
        <v>0.16017908356503274</v>
      </c>
      <c r="C19" s="15">
        <f>IFERROR('Profit and Loss'!D12/'Profit and Loss'!D4,"")</f>
        <v>0.15613238994386977</v>
      </c>
      <c r="D19" s="15">
        <f>IFERROR('Profit and Loss'!E12/'Profit and Loss'!E4,"")</f>
        <v>0.13974201474201475</v>
      </c>
      <c r="E19" s="15">
        <f>IFERROR('Profit and Loss'!F12/'Profit and Loss'!F4,"")</f>
        <v>0.13961739849347787</v>
      </c>
      <c r="F19" s="15">
        <f>IFERROR('Profit and Loss'!G12/'Profit and Loss'!G4,"")</f>
        <v>0.16875140794138221</v>
      </c>
    </row>
    <row r="20" spans="1:8" x14ac:dyDescent="0.3">
      <c r="A20" t="s">
        <v>67</v>
      </c>
      <c r="B20" s="15">
        <f>IFERROR('Profit and Loss'!C24/'Profit and Loss'!C4,"")</f>
        <v>0.11914092431639556</v>
      </c>
      <c r="C20" s="15">
        <f>IFERROR('Profit and Loss'!D24/'Profit and Loss'!D4,"")</f>
        <v>0.12052947375212369</v>
      </c>
      <c r="D20" s="15">
        <f>IFERROR('Profit and Loss'!E24/'Profit and Loss'!E4,"")</f>
        <v>9.8174193001779209E-2</v>
      </c>
      <c r="E20" s="15">
        <f>IFERROR('Profit and Loss'!F24/'Profit and Loss'!F4,"")</f>
        <v>0.19411399963255557</v>
      </c>
      <c r="F20" s="15">
        <f>IFERROR('Profit and Loss'!G24/'Profit and Loss'!G4,"")</f>
        <v>0.14502685462931125</v>
      </c>
    </row>
    <row r="21" spans="1:8" x14ac:dyDescent="0.3">
      <c r="A21" t="s">
        <v>81</v>
      </c>
      <c r="B21" s="14">
        <f>IFERROR('Profit and Loss'!C24/'Balance Sheet'!C61,"")</f>
        <v>0.30303199042236267</v>
      </c>
      <c r="C21" s="14">
        <f>IFERROR('Profit and Loss'!D24/'Balance Sheet'!D61,"")</f>
        <v>0.31360863969559621</v>
      </c>
      <c r="D21" s="14">
        <f>IFERROR('Profit and Loss'!E24/'Balance Sheet'!E61,"")</f>
        <v>0.22080891810776046</v>
      </c>
      <c r="E21" s="14">
        <f>IFERROR('Profit and Loss'!F24/'Balance Sheet'!F61,"")</f>
        <v>0.31812194203989463</v>
      </c>
      <c r="F21" s="14">
        <f>IFERROR('Profit and Loss'!G24/'Balance Sheet'!G61,"")</f>
        <v>0.26768793084582559</v>
      </c>
    </row>
    <row r="22" spans="1:8" x14ac:dyDescent="0.3">
      <c r="A22" t="s">
        <v>82</v>
      </c>
      <c r="B22" s="14">
        <f>IFERROR('Profit and Loss'!C15/('Balance Sheet'!C30-'Balance Sheet'!C42),"")</f>
        <v>0.15273700480285474</v>
      </c>
      <c r="C22" s="14">
        <f>IFERROR('Profit and Loss'!D15/('Balance Sheet'!D30-'Balance Sheet'!D42),"")</f>
        <v>0.15718820557530236</v>
      </c>
      <c r="D22" s="14">
        <f>IFERROR('Profit and Loss'!E15/('Balance Sheet'!E30-'Balance Sheet'!E42),"")</f>
        <v>0.12946663025439573</v>
      </c>
      <c r="E22" s="14">
        <f>IFERROR('Profit and Loss'!F15/('Balance Sheet'!F30-'Balance Sheet'!F42),"")</f>
        <v>0.11782449910211658</v>
      </c>
      <c r="F22" s="14">
        <f>IFERROR('Profit and Loss'!G15/('Balance Sheet'!G30-'Balance Sheet'!G42),"")</f>
        <v>0.17550352288093374</v>
      </c>
    </row>
    <row r="23" spans="1:8" x14ac:dyDescent="0.3">
      <c r="A23" t="s">
        <v>83</v>
      </c>
      <c r="B23" s="14">
        <f>IFERROR(('Profit and Loss'!C24/'Balance Sheet'!C30),"")</f>
        <v>7.815372242647059E-2</v>
      </c>
      <c r="C23" s="14">
        <f>IFERROR(('Profit and Loss'!D24/'Balance Sheet'!D30),"")</f>
        <v>8.857368629000395E-2</v>
      </c>
      <c r="D23" s="14">
        <f>IFERROR(('Profit and Loss'!E24/'Balance Sheet'!E30),"")</f>
        <v>6.8574218461037714E-2</v>
      </c>
      <c r="E23" s="14">
        <f>IFERROR(('Profit and Loss'!F24/'Balance Sheet'!F30),"")</f>
        <v>0.1214945882623507</v>
      </c>
      <c r="F23" s="14">
        <f>IFERROR(('Profit and Loss'!G24/'Balance Sheet'!G30),"")</f>
        <v>9.8622891605121429E-2</v>
      </c>
    </row>
    <row r="26" spans="1:8" x14ac:dyDescent="0.3">
      <c r="A26" s="1" t="s">
        <v>84</v>
      </c>
    </row>
    <row r="27" spans="1:8" x14ac:dyDescent="0.3">
      <c r="A27" t="s">
        <v>70</v>
      </c>
      <c r="B27" s="19">
        <f>'Profit and Loss'!C27</f>
        <v>4.1926040061633278</v>
      </c>
      <c r="C27" s="19">
        <f>'Profit and Loss'!D27</f>
        <v>4.2362055933484504</v>
      </c>
      <c r="D27" s="19">
        <f>'Profit and Loss'!E27</f>
        <v>3.4244551163649799</v>
      </c>
      <c r="E27" s="19">
        <f>'Profit and Loss'!F27</f>
        <v>6.0634863701578192</v>
      </c>
      <c r="F27" s="19">
        <f>'Profit and Loss'!G27</f>
        <v>4.2994727592267132</v>
      </c>
    </row>
    <row r="28" spans="1:8" x14ac:dyDescent="0.3">
      <c r="A28" t="s">
        <v>86</v>
      </c>
      <c r="B28" s="19">
        <f>'Profit and Loss'!C28</f>
        <v>3.05</v>
      </c>
      <c r="C28" s="19">
        <f>'Profit and Loss'!D28</f>
        <v>3</v>
      </c>
      <c r="D28" s="19">
        <f>'Profit and Loss'!E28</f>
        <v>2.95</v>
      </c>
      <c r="E28" s="19">
        <f>'Profit and Loss'!F28</f>
        <v>2.8</v>
      </c>
      <c r="F28" s="19">
        <f>'Profit and Loss'!G28</f>
        <v>2.75</v>
      </c>
      <c r="H28" s="40" t="s">
        <v>149</v>
      </c>
    </row>
    <row r="29" spans="1:8" x14ac:dyDescent="0.3">
      <c r="A29" t="s">
        <v>88</v>
      </c>
      <c r="B29" s="25">
        <f>B28/B27</f>
        <v>0.72747151782432928</v>
      </c>
      <c r="C29" s="25">
        <f t="shared" ref="C29:F29" si="0">C28/C27</f>
        <v>0.70818092604157379</v>
      </c>
      <c r="D29" s="25">
        <f t="shared" si="0"/>
        <v>0.86145091693635378</v>
      </c>
      <c r="E29" s="25">
        <f t="shared" si="0"/>
        <v>0.46178053830227739</v>
      </c>
      <c r="F29" s="25">
        <f t="shared" si="0"/>
        <v>0.63961330935251803</v>
      </c>
    </row>
    <row r="30" spans="1:8" x14ac:dyDescent="0.3">
      <c r="A30" t="s">
        <v>148</v>
      </c>
      <c r="B30" s="39">
        <v>74.88</v>
      </c>
      <c r="C30" s="39">
        <v>97.51</v>
      </c>
      <c r="D30" s="39">
        <v>107.41</v>
      </c>
      <c r="E30" s="39">
        <v>127.44</v>
      </c>
      <c r="F30" s="39">
        <v>104.26</v>
      </c>
    </row>
    <row r="31" spans="1:8" x14ac:dyDescent="0.3">
      <c r="A31" t="s">
        <v>85</v>
      </c>
      <c r="B31" s="19">
        <f>B30/B27</f>
        <v>17.860022050716648</v>
      </c>
      <c r="C31" s="19">
        <f t="shared" ref="C31:F31" si="1">C30/C27</f>
        <v>23.018240699437953</v>
      </c>
      <c r="D31" s="19">
        <f t="shared" si="1"/>
        <v>31.36557389428263</v>
      </c>
      <c r="E31" s="19">
        <f t="shared" si="1"/>
        <v>21.017611357586514</v>
      </c>
      <c r="F31" s="19">
        <f t="shared" si="1"/>
        <v>24.249484957488558</v>
      </c>
    </row>
    <row r="32" spans="1:8" x14ac:dyDescent="0.3">
      <c r="A32" s="36" t="s">
        <v>87</v>
      </c>
      <c r="B32" s="35">
        <f>B30/(('Balance Sheet'!C30-'Balance Sheet'!C53)/'Balance Sheet'!C70)</f>
        <v>5.3466764778023057</v>
      </c>
      <c r="C32" s="35">
        <f>C30/(('Balance Sheet'!D30-'Balance Sheet'!D53)/'Balance Sheet'!D70)</f>
        <v>7.1550746145601458</v>
      </c>
      <c r="D32" s="35">
        <f>D30/(('Balance Sheet'!E30-'Balance Sheet'!E53)/'Balance Sheet'!E70)</f>
        <v>6.902633669844831</v>
      </c>
      <c r="E32" s="35">
        <f>E30/(('Balance Sheet'!F30-'Balance Sheet'!F53)/'Balance Sheet'!F70)</f>
        <v>6.6771567368362268</v>
      </c>
      <c r="F32" s="35">
        <f>F30/(('Balance Sheet'!G30-'Balance Sheet'!G53)/'Balance Sheet'!G70)</f>
        <v>6.457691447736166</v>
      </c>
    </row>
  </sheetData>
  <hyperlinks>
    <hyperlink ref="H28" r:id="rId1" xr:uid="{24D0F880-E37B-4CE6-9593-D07F220D12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Balance Sheet</vt:lpstr>
      <vt:lpstr>Profit and Loss</vt:lpstr>
      <vt:lpstr>Cash Flow</vt:lpstr>
      <vt:lpstr>Charts</vt:lpstr>
      <vt:lpstr>analysis</vt:lpstr>
      <vt:lpstr>Liquidity Ratios</vt:lpstr>
      <vt:lpstr>Debt to Equity</vt:lpstr>
      <vt:lpstr>Leverage</vt:lpstr>
      <vt:lpstr>Efficiency Ratios</vt:lpstr>
      <vt:lpstr>Profitability Ratios</vt:lpstr>
      <vt:lpstr>Returns</vt:lpstr>
      <vt:lpstr>Valuation</vt:lpstr>
      <vt:lpstr>Sum_Ratios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Sambit</dc:creator>
  <cp:lastModifiedBy>Sambit Samanta</cp:lastModifiedBy>
  <dcterms:created xsi:type="dcterms:W3CDTF">2015-06-05T18:17:20Z</dcterms:created>
  <dcterms:modified xsi:type="dcterms:W3CDTF">2025-10-31T00:27:18Z</dcterms:modified>
</cp:coreProperties>
</file>